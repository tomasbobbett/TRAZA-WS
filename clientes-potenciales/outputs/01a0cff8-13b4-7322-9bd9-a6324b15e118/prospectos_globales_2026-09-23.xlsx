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676cef86318495d" /></Relationships>
</file>

<file path=xl/workbook.xml><?xml version="1.0" encoding="utf-8"?>
<x:workbook xmlns:x="http://schemas.openxmlformats.org/spreadsheetml/2006/main">
  <x:sheets>
    <x:sheet xmlns:r="http://schemas.openxmlformats.org/officeDocument/2006/relationships" name="Prospectos" sheetId="1" r:id="R83cd30e5a1624028"/>
    <x:sheet xmlns:r="http://schemas.openxmlformats.org/officeDocument/2006/relationships" name="Guía y mensajes" sheetId="2" r:id="R75db8fb603b240f0"/>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
    <x:numFmt numFmtId="201" formatCode="dd/mm/yyyy"/>
  </x:numFmts>
  <x:fonts count="9">
    <x:font>
      <x:sz val="11"/>
      <x:name val="Carlito"/>
    </x:font>
    <x:font>
      <x:sz val="10"/>
      <x:color rgb="FF243B53"/>
      <x:name val="Arial"/>
    </x:font>
    <x:font>
      <x:b/>
      <x:sz val="16"/>
      <x:color rgb="FF102A43"/>
      <x:name val="Arial"/>
    </x:font>
    <x:font>
      <x:sz val="10"/>
      <x:color rgb="FF52606D"/>
      <x:name val="Arial"/>
    </x:font>
    <x:font>
      <x:b/>
      <x:sz val="10"/>
      <x:color rgb="FF52606D"/>
      <x:name val="Arial"/>
    </x:font>
    <x:font>
      <x:b/>
      <x:sz val="16"/>
      <x:color rgb="FF0F766E"/>
      <x:name val="Arial"/>
    </x:font>
    <x:font>
      <x:b/>
      <x:sz val="10"/>
      <x:color rgb="FFFFFFFF"/>
      <x:name val="Arial"/>
    </x:font>
    <x:font>
      <x:b/>
      <x:sz val="10"/>
      <x:color rgb="FF102A43"/>
      <x:name val="Arial"/>
    </x:font>
    <x:font>
      <x:sz val="10"/>
      <x:color rgb="FF2563EB"/>
      <x:name val="Arial"/>
    </x:font>
  </x:fonts>
  <x:fills count="6">
    <x:fill>
      <x:patternFill patternType="none"/>
    </x:fill>
    <x:fill>
      <x:patternFill patternType="gray125"/>
    </x:fill>
    <x:fill>
      <x:patternFill patternType="solid">
        <x:fgColor rgb="FF102A43"/>
      </x:patternFill>
    </x:fill>
    <x:fill>
      <x:patternFill patternType="solid">
        <x:fgColor rgb="FFF3F6F8"/>
      </x:patternFill>
    </x:fill>
    <x:fill>
      <x:patternFill patternType="solid">
        <x:fgColor rgb="FFFFFFFF"/>
      </x:patternFill>
    </x:fill>
    <x:fill>
      <x:patternFill patternType="solid">
        <x:fgColor rgb="FFFFF7DC"/>
      </x:patternFill>
    </x:fill>
  </x:fills>
  <x:borders count="1">
    <x:border/>
  </x:borders>
  <x:cellStyleXfs count="1">
    <x:xf numFmtId="0" fontId="0" fillId="0" borderId="0"/>
  </x:cellStyleXfs>
  <x:cellXfs count="29">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4" fillId="0" borderId="0" xfId="0" applyNumberFormat="1" applyFont="1" applyFill="1" applyBorder="1" applyAlignment="1">
      <x:alignment vertical="center"/>
    </x:xf>
    <x:xf numFmtId="0" fontId="5"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6" fillId="2" borderId="0" xfId="0" applyNumberFormat="1" applyFont="1" applyFill="1" applyBorder="1" applyAlignment="1">
      <x:alignment vertical="center"/>
    </x:xf>
    <x:xf numFmtId="0" fontId="6" fillId="2" borderId="0" xfId="0" applyNumberFormat="1" applyFont="1" applyFill="1" applyBorder="1" applyAlignment="1">
      <x:alignment vertical="center" wrapText="1"/>
    </x:xf>
    <x:xf numFmtId="0" fontId="6"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center"/>
    </x:xf>
    <x:xf numFmtId="0" fontId="7" fillId="3" borderId="0" xfId="0" applyNumberFormat="1" applyFont="1" applyFill="1" applyBorder="1" applyAlignment="1">
      <x:alignment vertical="center"/>
    </x:xf>
    <x:xf numFmtId="0" fontId="7" fillId="3" borderId="0" xfId="0" applyNumberFormat="1" applyFont="1" applyFill="1" applyBorder="1" applyAlignment="1">
      <x:alignment vertical="center" wrapText="1"/>
    </x:xf>
    <x:xf numFmtId="0" fontId="7" fillId="3" borderId="0"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0" fontId="1" fillId="4" borderId="0" xfId="0" applyNumberFormat="1" applyFont="1" applyFill="1" applyBorder="1" applyAlignment="1">
      <x:alignment vertical="center"/>
    </x:xf>
    <x:xf numFmtId="0" fontId="1" fillId="4"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1" fontId="1" fillId="0" borderId="0" xfId="0" applyNumberFormat="1" applyFont="1" applyFill="1" applyBorder="1" applyAlignment="1">
      <x:alignment vertical="center" wrapText="1"/>
    </x:xf>
    <x:xf numFmtId="201" fontId="1" fillId="0" borderId="0" xfId="0" applyNumberFormat="1" applyFont="1" applyFill="1" applyBorder="1" applyAlignment="1">
      <x:alignment horizontal="center" vertical="center" wrapText="1"/>
    </x:xf>
    <x:xf numFmtId="0" fontId="1" fillId="0" borderId="0" xfId="0" applyNumberFormat="1" applyFont="1" applyFill="1" applyBorder="1" applyAlignment="1">
      <x:alignment horizontal="center" vertical="center" wrapText="1"/>
    </x:xf>
    <x:xf numFmtId="0" fontId="1" fillId="5" borderId="0" xfId="0" applyNumberFormat="1" applyFont="1" applyFill="1" applyBorder="1" applyAlignment="1">
      <x:alignment horizontal="center" vertical="center" wrapText="1"/>
    </x:xf>
    <x:xf numFmtId="201" fontId="1" fillId="5" borderId="0" xfId="0" applyNumberFormat="1" applyFont="1" applyFill="1" applyBorder="1" applyAlignment="1">
      <x:alignment horizontal="center" vertical="center" wrapText="1"/>
    </x:xf>
    <x:xf numFmtId="0" fontId="1" fillId="5" borderId="0" xfId="0" applyNumberFormat="1" applyFont="1" applyFill="1" applyBorder="1" applyAlignment="1">
      <x:alignment vertical="center" wrapText="1"/>
    </x:xf>
    <x:xf numFmtId="0" fontId="8" fillId="0" borderId="0" xfId="0" applyNumberFormat="1" applyFont="1" applyFill="1" applyBorder="1" applyAlignment="1">
      <x:alignment vertical="center" wrapText="1"/>
    </x:xf>
    <x:xf numFmtId="0" fontId="3" fillId="0" borderId="0" xfId="0" applyNumberFormat="1" applyFont="1" applyFill="1" applyBorder="1" applyAlignment="1">
      <x:alignment vertical="center" wrapText="1"/>
    </x:xf>
    <x:xf numFmtId="0" fontId="6" fillId="2" borderId="0" xfId="0" applyNumberFormat="1" applyFont="1" applyFill="1" applyBorder="1" applyAlignment="1">
      <x:alignment horizontal="center" vertical="center"/>
    </x:xf>
    <x:xf numFmtId="0" fontId="1" fillId="0" borderId="0" xfId="0" applyNumberFormat="1" applyFont="1" applyFill="1" applyBorder="1" applyAlignment="1">
      <x:alignment horizontal="left" vertical="center"/>
    </x:xf>
  </x:cellXfs>
  <x:cellStyles count="1">
    <x:cellStyle name="Normal" xfId="0"/>
  </x:cellStyles>
  <x:dxfs count="5">
    <x:dxf>
      <x:font>
        <x:b/>
        <x:color rgb="FF176044"/>
      </x:font>
      <x:fill>
        <x:patternFill patternType="solid">
          <x:bgColor rgb="FFE4F3EE"/>
        </x:patternFill>
      </x:fill>
    </x:dxf>
    <x:dxf>
      <x:font>
        <x:b/>
        <x:color rgb="FF345376"/>
      </x:font>
      <x:fill>
        <x:patternFill patternType="solid">
          <x:bgColor rgb="FFEAF0F8"/>
        </x:patternFill>
      </x:fill>
    </x:dxf>
    <x:dxf>
      <x:font>
        <x:b/>
        <x:color rgb="FF805500"/>
      </x:font>
      <x:fill>
        <x:patternFill patternType="solid">
          <x:bgColor rgb="FFFFF2CD"/>
        </x:patternFill>
      </x:fill>
    </x:dxf>
    <x:dxf>
      <x:font>
        <x:b/>
        <x:color rgb="FF61707D"/>
      </x:font>
      <x:fill>
        <x:patternFill patternType="solid">
          <x:bgColor rgb="FFECEFF2"/>
        </x:patternFill>
      </x:fill>
    </x:dxf>
    <x:dxf>
      <x:font>
        <x:b/>
        <x:color rgb="FF9C3030"/>
      </x:font>
      <x:fill>
        <x:patternFill patternType="solid">
          <x:bgColor rgb="FFFBE7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1702598f02b4a50" /><Relationship Type="http://schemas.openxmlformats.org/officeDocument/2006/relationships/theme" Target="/xl/theme/theme1.xml" Id="R3b2e71721dea4688" /><Relationship Type="http://schemas.openxmlformats.org/officeDocument/2006/relationships/sharedStrings" Target="/xl/sharedStrings.xml" Id="R63f9eb36bff443cd" /><Relationship Type="http://schemas.openxmlformats.org/officeDocument/2006/relationships/worksheet" Target="/xl/worksheets/sheet1.xml" Id="R83cd30e5a1624028" /><Relationship Type="http://schemas.openxmlformats.org/officeDocument/2006/relationships/worksheet" Target="/xl/worksheets/sheet2.xml" Id="R75db8fb603b240f0" /></Relationships>
</file>

<file path=xl/tables/table1.xml><?xml version="1.0" encoding="utf-8"?>
<x:table xmlns:x="http://schemas.openxmlformats.org/spreadsheetml/2006/main" id="1" name="ProspectosGlobales" displayName="ProspectosGlobales" ref="A8:W80" headerRowCount="1" totalsRowCount="0" totalsRowShown="0">
  <x:autoFilter ref="A8:W80"/>
  <x:tableColumns count="23">
    <x:tableColumn id="1" name="Prioridad"/>
    <x:tableColumn id="2" name="Negocio"/>
    <x:tableColumn id="3" name="Rubro"/>
    <x:tableColumn id="4" name="País"/>
    <x:tableColumn id="5" name="Email público"/>
    <x:tableColumn id="6" name="Teléfono público"/>
    <x:tableColumn id="7" name="Contactar"/>
    <x:tableColumn id="8" name="Ciudad / zona"/>
    <x:tableColumn id="9" name="Continente"/>
    <x:tableColumn id="10" name="Idioma sugerido"/>
    <x:tableColumn id="11" name="Qué ofrecer (hipótesis)"/>
    <x:tableColumn id="12" name="Situación web"/>
    <x:tableColumn id="13" name="Observación y validación pendiente"/>
    <x:tableColumn id="14" name="Alcance de revisión"/>
    <x:tableColumn id="15" name="Fuente consultada el"/>
    <x:tableColumn id="16" name="Estado contacto"/>
    <x:tableColumn id="17" name="Último contacto"/>
    <x:tableColumn id="18" name="Próximo seguimiento"/>
    <x:tableColumn id="19" name="Notas de seguimiento"/>
    <x:tableColumn id="20" name="ID"/>
    <x:tableColumn id="21" name=" "/>
    <x:tableColumn id="22" name="Fuente pública principal"/>
    <x:tableColumn id="23" name="Fuente complementaria"/>
  </x:tableColumns>
  <x:tableStyleInfo name="TableStyleMedium2" showFirstColumn="0" showLastColumn="0" showRowStripes="1" showColumnStripes="0"/>
</x:table>
</file>

<file path=xl/tables/table2.xml><?xml version="1.0" encoding="utf-8"?>
<x:table xmlns:x="http://schemas.openxmlformats.org/spreadsheetml/2006/main" id="2" name="MensajesProspeccion" displayName="MensajesProspeccion" ref="A14:E28" headerRowCount="1" totalsRowCount="0" totalsRowShown="0">
  <x:autoFilter ref="A14:E28"/>
  <x:tableColumns count="5">
    <x:tableColumn id="1" name="Idioma"/>
    <x:tableColumn id="2" name="Rubro"/>
    <x:tableColumn id="3" name="Primer mensaje"/>
    <x:tableColumn id="4" name="Seguimiento"/>
    <x:tableColumn id="5" name="Personalizar c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Relationships xmlns="http://schemas.openxmlformats.org/package/2006/relationships"><Relationship Type="http://schemas.openxmlformats.org/officeDocument/2006/relationships/table" Target="/xl/tables/table1.xml" Id="Rf2e67cb6e01f4e29" /><Relationship Id="rIdLeadLink1" Type="http://schemas.openxmlformats.org/officeDocument/2006/relationships/hyperlink" Target="https://wa.me/50686438080" TargetMode="External" /><Relationship Id="rIdLeadLink2" Type="http://schemas.openxmlformats.org/officeDocument/2006/relationships/hyperlink" Target="https://techmovilcr.com/" TargetMode="External" /><Relationship Id="rIdLeadLink3" Type="http://schemas.openxmlformats.org/officeDocument/2006/relationships/hyperlink" Target="https://es.cybo.com/CR-biz/techmovil" TargetMode="External" /><Relationship Id="rIdLeadLink4" Type="http://schemas.openxmlformats.org/officeDocument/2006/relationships/hyperlink" Target="mailto:info.aranzazuestudio@gmail.com" TargetMode="External" /><Relationship Id="rIdLeadLink5" Type="http://schemas.openxmlformats.org/officeDocument/2006/relationships/hyperlink" Target="https://www.aranzazuestudio.com/" TargetMode="External" /><Relationship Id="rIdLeadLink6" Type="http://schemas.openxmlformats.org/officeDocument/2006/relationships/hyperlink" Target="mailto:info@rehobothfurnituregh.com" TargetMode="External" /><Relationship Id="rIdLeadLink7" Type="http://schemas.openxmlformats.org/officeDocument/2006/relationships/hyperlink" Target="https://rehobothfurnituregh.com/" TargetMode="External" /><Relationship Id="rIdLeadLink8" Type="http://schemas.openxmlformats.org/officeDocument/2006/relationships/hyperlink" Target="tel:+50254942822" TargetMode="External" /><Relationship Id="rIdLeadLink9" Type="http://schemas.openxmlformats.org/officeDocument/2006/relationships/hyperlink" Target="https://asdesarrollo.org/las-morenas/" TargetMode="External" /><Relationship Id="rIdLeadLink10" Type="http://schemas.openxmlformats.org/officeDocument/2006/relationships/hyperlink" Target="https://es.cybo.com/GT/ciudad-de-guatemala/servicios-locales" TargetMode="External" /><Relationship Id="rIdLeadLink11" Type="http://schemas.openxmlformats.org/officeDocument/2006/relationships/hyperlink" Target="mailto:info@poddarexp.com" TargetMode="External" /><Relationship Id="rIdLeadLink12" Type="http://schemas.openxmlformats.org/officeDocument/2006/relationships/hyperlink" Target="https://www.poddarexp.com/contact.html" TargetMode="External" /><Relationship Id="rIdLeadLink13" Type="http://schemas.openxmlformats.org/officeDocument/2006/relationships/hyperlink" Target="mailto:indopurejoyhouse@gmail.com" TargetMode="External" /><Relationship Id="rIdLeadLink14" Type="http://schemas.openxmlformats.org/officeDocument/2006/relationships/hyperlink" Target="https://surfbali.id/contact-surf-bali/" TargetMode="External" /><Relationship Id="rIdLeadLink15" Type="http://schemas.openxmlformats.org/officeDocument/2006/relationships/hyperlink" Target="mailto:contact.riaddess@gmail.com" TargetMode="External" /><Relationship Id="rIdLeadLink16" Type="http://schemas.openxmlformats.org/officeDocument/2006/relationships/hyperlink" Target="https://riaddess.com/en/" TargetMode="External" /><Relationship Id="rIdLeadLink17" Type="http://schemas.openxmlformats.org/officeDocument/2006/relationships/hyperlink" Target="mailto:info@voon.co.nz" TargetMode="External" /><Relationship Id="rIdLeadLink18" Type="http://schemas.openxmlformats.org/officeDocument/2006/relationships/hyperlink" Target="https://voon.co.nz/" TargetMode="External" /><Relationship Id="rIdLeadLink19" Type="http://schemas.openxmlformats.org/officeDocument/2006/relationships/hyperlink" Target="mailto:tldcycles@gmail.com" TargetMode="External" /><Relationship Id="rIdLeadLink20" Type="http://schemas.openxmlformats.org/officeDocument/2006/relationships/hyperlink" Target="https://www.tldcycles.co.uk/" TargetMode="External" /><Relationship Id="rIdLeadLink21" Type="http://schemas.openxmlformats.org/officeDocument/2006/relationships/hyperlink" Target="mailto:nautiluscooking@gmail.com" TargetMode="External" /><Relationship Id="rIdLeadLink22" Type="http://schemas.openxmlformats.org/officeDocument/2006/relationships/hyperlink" Target="https://nautiluscookingclass.com/" TargetMode="External" /><Relationship Id="rIdLeadLink23" Type="http://schemas.openxmlformats.org/officeDocument/2006/relationships/hyperlink" Target="mailto:info.roaddogs@gmail.com" TargetMode="External" /><Relationship Id="rIdLeadLink24" Type="http://schemas.openxmlformats.org/officeDocument/2006/relationships/hyperlink" Target="https://roaddogs.co.za/" TargetMode="External" /><Relationship Id="rIdLeadLink25" Type="http://schemas.openxmlformats.org/officeDocument/2006/relationships/hyperlink" Target="mailto:tedejazmin.cba@gmail.com" TargetMode="External" /><Relationship Id="rIdLeadLink26" Type="http://schemas.openxmlformats.org/officeDocument/2006/relationships/hyperlink" Target="https://ar.todosnegocios.com/te-de-jazm-u-edn-cba-0351-661-5373" TargetMode="External" /><Relationship Id="rIdLeadLink27" Type="http://schemas.openxmlformats.org/officeDocument/2006/relationships/hyperlink" Target="mailto:christopher@commandaproautodetailing.com.au" TargetMode="External" /><Relationship Id="rIdLeadLink28" Type="http://schemas.openxmlformats.org/officeDocument/2006/relationships/hyperlink" Target="https://commandaproautodetailing.com.au/contact" TargetMode="External" /><Relationship Id="rIdLeadLink29" Type="http://schemas.openxmlformats.org/officeDocument/2006/relationships/hyperlink" Target="mailto:hello@honestshine.com.au" TargetMode="External" /><Relationship Id="rIdLeadLink30" Type="http://schemas.openxmlformats.org/officeDocument/2006/relationships/hyperlink" Target="https://honestshine.com.au/contact.html" TargetMode="External" /><Relationship Id="rIdLeadLink31" Type="http://schemas.openxmlformats.org/officeDocument/2006/relationships/hyperlink" Target="mailto:contactomundofitness@gmail.com" TargetMode="External" /><Relationship Id="rIdLeadLink32" Type="http://schemas.openxmlformats.org/officeDocument/2006/relationships/hyperlink" Target="https://www.infostgo.cl/id/2995-mundofitness" TargetMode="External" /><Relationship Id="rIdLeadLink33" Type="http://schemas.openxmlformats.org/officeDocument/2006/relationships/hyperlink" Target="https://cl.todosnegocios.com/mundofitness-9-4562-8807" TargetMode="External" /><Relationship Id="rIdLeadLink34" Type="http://schemas.openxmlformats.org/officeDocument/2006/relationships/hyperlink" Target="mailto:hagoballenas@gmail.com" TargetMode="External" /><Relationship Id="rIdLeadLink35" Type="http://schemas.openxmlformats.org/officeDocument/2006/relationships/hyperlink" Target="https://www.hagoballenas.es/contacto/" TargetMode="External" /><Relationship Id="rIdLeadLink36" Type="http://schemas.openxmlformats.org/officeDocument/2006/relationships/hyperlink" Target="mailto:denaraudiving@purpleturtlefiji.com" TargetMode="External" /><Relationship Id="rIdLeadLink37" Type="http://schemas.openxmlformats.org/officeDocument/2006/relationships/hyperlink" Target="https://fhta.com.fj/business/purple-turtle-fiji/" TargetMode="External" /><Relationship Id="rIdLeadLink38" Type="http://schemas.openxmlformats.org/officeDocument/2006/relationships/hyperlink" Target="mailto:info@subsurfacefiji.com" TargetMode="External" /><Relationship Id="rIdLeadLink39" Type="http://schemas.openxmlformats.org/officeDocument/2006/relationships/hyperlink" Target="https://fijidiving.com/contact-us/" TargetMode="External" /><Relationship Id="rIdLeadLink40" Type="http://schemas.openxmlformats.org/officeDocument/2006/relationships/hyperlink" Target="mailto:contact@menthesauvage.fr" TargetMode="External" /><Relationship Id="rIdLeadLink41" Type="http://schemas.openxmlformats.org/officeDocument/2006/relationships/hyperlink" Target="https://menthesauvage.fr/contact" TargetMode="External" /><Relationship Id="rIdLeadLink42" Type="http://schemas.openxmlformats.org/officeDocument/2006/relationships/hyperlink" Target="mailto:virginiepondarrepro@gmail.com" TargetMode="External" /><Relationship Id="rIdLeadLink43" Type="http://schemas.openxmlformats.org/officeDocument/2006/relationships/hyperlink" Target="https://www.virginiepfleuriste.fr/ateliers-floraux-prives/" TargetMode="External" /><Relationship Id="rIdLeadLink44" Type="http://schemas.openxmlformats.org/officeDocument/2006/relationships/hyperlink" Target="mailto:contact@dansahmadeit.com" TargetMode="External" /><Relationship Id="rIdLeadLink45" Type="http://schemas.openxmlformats.org/officeDocument/2006/relationships/hyperlink" Target="https://dansahmadeit.com/" TargetMode="External" /><Relationship Id="rIdLeadLink46" Type="http://schemas.openxmlformats.org/officeDocument/2006/relationships/hyperlink" Target="mailto:info@blockprintcompany.com" TargetMode="External" /><Relationship Id="rIdLeadLink47" Type="http://schemas.openxmlformats.org/officeDocument/2006/relationships/hyperlink" Target="https://blockprintcompany.com/index.php/contact" TargetMode="External" /><Relationship Id="rIdLeadLink48" Type="http://schemas.openxmlformats.org/officeDocument/2006/relationships/hyperlink" Target="mailto:surfinginkuta@gmail.com" TargetMode="External" /><Relationship Id="rIdLeadLink49" Type="http://schemas.openxmlformats.org/officeDocument/2006/relationships/hyperlink" Target="https://27surfbali.com/" TargetMode="External" /><Relationship Id="rIdLeadLink50" Type="http://schemas.openxmlformats.org/officeDocument/2006/relationships/hyperlink" Target="mailto:alfredocookingclass@gmail.com" TargetMode="External" /><Relationship Id="rIdLeadLink51" Type="http://schemas.openxmlformats.org/officeDocument/2006/relationships/hyperlink" Target="https://www.alfredocookingclass.com/en/school" TargetMode="External" /><Relationship Id="rIdLeadLink52" Type="http://schemas.openxmlformats.org/officeDocument/2006/relationships/hyperlink" Target="mailto:info@desinare.it" TargetMode="External" /><Relationship Id="rIdLeadLink53" Type="http://schemas.openxmlformats.org/officeDocument/2006/relationships/hyperlink" Target="https://www.desinare.it/en/contact-us" TargetMode="External" /><Relationship Id="rIdLeadLink54" Type="http://schemas.openxmlformats.org/officeDocument/2006/relationships/hyperlink" Target="mailto:hello@cakeaholic.co.ke" TargetMode="External" /><Relationship Id="rIdLeadLink55" Type="http://schemas.openxmlformats.org/officeDocument/2006/relationships/hyperlink" Target="https://www.cakeaholic.co.ke/contact" TargetMode="External" /><Relationship Id="rIdLeadLink56" Type="http://schemas.openxmlformats.org/officeDocument/2006/relationships/hyperlink" Target="mailto:orders@happycakesbakery.co.ke" TargetMode="External" /><Relationship Id="rIdLeadLink57" Type="http://schemas.openxmlformats.org/officeDocument/2006/relationships/hyperlink" Target="https://happycakesbakery.co.ke/shop/" TargetMode="External" /><Relationship Id="rIdLeadLink58" Type="http://schemas.openxmlformats.org/officeDocument/2006/relationships/hyperlink" Target="mailto:contact@ryad-marrakech.com" TargetMode="External" /><Relationship Id="rIdLeadLink59" Type="http://schemas.openxmlformats.org/officeDocument/2006/relationships/hyperlink" Target="https://www.ryad-marrakech.com/en/contact-us/" TargetMode="External" /><Relationship Id="rIdLeadLink60" Type="http://schemas.openxmlformats.org/officeDocument/2006/relationships/hyperlink" Target="mailto:contacto@cellypc.com" TargetMode="External" /><Relationship Id="rIdLeadLink61" Type="http://schemas.openxmlformats.org/officeDocument/2006/relationships/hyperlink" Target="https://www.allbiz.mx/cell-y-pc_1K-33-1525-2819" TargetMode="External" /><Relationship Id="rIdLeadLink62" Type="http://schemas.openxmlformats.org/officeDocument/2006/relationships/hyperlink" Target="mailto:facturacion.citrus@hotmail.com" TargetMode="External" /><Relationship Id="rIdLeadLink63" Type="http://schemas.openxmlformats.org/officeDocument/2006/relationships/hyperlink" Target="https://www.allbiz.mx/costuras-citrus-33-1537-5347" TargetMode="External" /><Relationship Id="rIdLeadLink64" Type="http://schemas.openxmlformats.org/officeDocument/2006/relationships/hyperlink" Target="mailto:info@handmadehandicraft.com" TargetMode="External" /><Relationship Id="rIdLeadLink65" Type="http://schemas.openxmlformats.org/officeDocument/2006/relationships/hyperlink" Target="https://handmadehandicraft.com/contact-us/" TargetMode="External" /><Relationship Id="rIdLeadLink66" Type="http://schemas.openxmlformats.org/officeDocument/2006/relationships/hyperlink" Target="mailto:kathmanduhandmade@gmail.com" TargetMode="External" /><Relationship Id="rIdLeadLink67" Type="http://schemas.openxmlformats.org/officeDocument/2006/relationships/hyperlink" Target="https://www.kathmanduhandmade.com/contact/" TargetMode="External" /><Relationship Id="rIdLeadLink68" Type="http://schemas.openxmlformats.org/officeDocument/2006/relationships/hyperlink" Target="mailto:info@toplinetailors.co.nz" TargetMode="External" /><Relationship Id="rIdLeadLink69" Type="http://schemas.openxmlformats.org/officeDocument/2006/relationships/hyperlink" Target="https://toplinetailors.co.nz/contact/" TargetMode="External" /><Relationship Id="rIdLeadLink70" Type="http://schemas.openxmlformats.org/officeDocument/2006/relationships/hyperlink" Target="mailto:elhormigueropy@gmail.com" TargetMode="External" /><Relationship Id="rIdLeadLink71" Type="http://schemas.openxmlformats.org/officeDocument/2006/relationships/hyperlink" Target="https://paraguay.worldplaces.me/es/review/93873335-el-hormiguero-paraguay.html" TargetMode="External" /><Relationship Id="rIdLeadLink72" Type="http://schemas.openxmlformats.org/officeDocument/2006/relationships/hyperlink" Target="https://py.todosnegocios.com/el-hormiguero-paraguay-0981-876153" TargetMode="External" /><Relationship Id="rIdLeadLink73" Type="http://schemas.openxmlformats.org/officeDocument/2006/relationships/hyperlink" Target="mailto:elpyecafe@gmail.com" TargetMode="External" /><Relationship Id="rIdLeadLink74" Type="http://schemas.openxmlformats.org/officeDocument/2006/relationships/hyperlink" Target="https://pe.todosnegocios.com/el-pye-999-222-575" TargetMode="External" /><Relationship Id="rIdLeadLink75" Type="http://schemas.openxmlformats.org/officeDocument/2006/relationships/hyperlink" Target="mailto:mirandesaguesthouse@gmail.com" TargetMode="External" /><Relationship Id="rIdLeadLink76" Type="http://schemas.openxmlformats.org/officeDocument/2006/relationships/hyperlink" Target="https://visitporto.travel/en-GB/poi/5cd04b44f979e00001d9a7bb" TargetMode="External" /><Relationship Id="rIdLeadLink77" Type="http://schemas.openxmlformats.org/officeDocument/2006/relationships/hyperlink" Target="mailto:portaazul204@gmail.com" TargetMode="External" /><Relationship Id="rIdLeadLink78" Type="http://schemas.openxmlformats.org/officeDocument/2006/relationships/hyperlink" Target="https://www.visitportugal.com/en/node/336093" TargetMode="External" /><Relationship Id="rIdLeadLink79" Type="http://schemas.openxmlformats.org/officeDocument/2006/relationships/hyperlink" Target="mailto:sales@boingbicycles.com" TargetMode="External" /><Relationship Id="rIdLeadLink80" Type="http://schemas.openxmlformats.org/officeDocument/2006/relationships/hyperlink" Target="https://boingbicycles.wixsite.com/boingbicycles" TargetMode="External" /><Relationship Id="rIdLeadLink81" Type="http://schemas.openxmlformats.org/officeDocument/2006/relationships/hyperlink" Target="mailto:jaymybeachfales@gmail.com" TargetMode="External" /><Relationship Id="rIdLeadLink82" Type="http://schemas.openxmlformats.org/officeDocument/2006/relationships/hyperlink" Target="https://www.samoa.travel/plan-book/samoa-accommodation/jaymys-beach-fales/" TargetMode="External" /><Relationship Id="rIdLeadLink83" Type="http://schemas.openxmlformats.org/officeDocument/2006/relationships/hyperlink" Target="mailto:namuaislandbeachfales@gmail.com" TargetMode="External" /><Relationship Id="rIdLeadLink84" Type="http://schemas.openxmlformats.org/officeDocument/2006/relationships/hyperlink" Target="https://www.samoa.travel/plan-book/samoa-accommodation/namua-island-beach-fales/" TargetMode="External" /><Relationship Id="rIdLeadLink85" Type="http://schemas.openxmlformats.org/officeDocument/2006/relationships/hyperlink" Target="mailto:info@gallecookingclass.com" TargetMode="External" /><Relationship Id="rIdLeadLink86" Type="http://schemas.openxmlformats.org/officeDocument/2006/relationships/hyperlink" Target="https://gallecookingclass.com/contact-us/" TargetMode="External" /><Relationship Id="rIdLeadLink87" Type="http://schemas.openxmlformats.org/officeDocument/2006/relationships/hyperlink" Target="mailto:info@doggielandgroup.co.za" TargetMode="External" /><Relationship Id="rIdLeadLink88" Type="http://schemas.openxmlformats.org/officeDocument/2006/relationships/hyperlink" Target="https://doggielandgroup.co.za/" TargetMode="External" /><Relationship Id="rIdLeadLink89" Type="http://schemas.openxmlformats.org/officeDocument/2006/relationships/hyperlink" Target="mailto:info@raptorsafariandtours.co.tz" TargetMode="External" /><Relationship Id="rIdLeadLink90" Type="http://schemas.openxmlformats.org/officeDocument/2006/relationships/hyperlink" Target="https://raptorsafariandtours.co.tz/index.php/contact-us/" TargetMode="External" /><Relationship Id="rIdLeadLink91" Type="http://schemas.openxmlformats.org/officeDocument/2006/relationships/hyperlink" Target="mailto:info@wild-tanzania-safaris.com" TargetMode="External" /><Relationship Id="rIdLeadLink92" Type="http://schemas.openxmlformats.org/officeDocument/2006/relationships/hyperlink" Target="https://wild-tanzania-safaris.com/tour/booking" TargetMode="External" /><Relationship Id="rIdLeadLink93" Type="http://schemas.openxmlformats.org/officeDocument/2006/relationships/hyperlink" Target="mailto:info@sammystours.com" TargetMode="External" /><Relationship Id="rIdLeadLink94" Type="http://schemas.openxmlformats.org/officeDocument/2006/relationships/hyperlink" Target="https://www.sammystours.com/" TargetMode="External" /><Relationship Id="rIdLeadLink95" Type="http://schemas.openxmlformats.org/officeDocument/2006/relationships/hyperlink" Target="mailto:sptvila@melanesian.com.vu" TargetMode="External" /><Relationship Id="rIdLeadLink96" Type="http://schemas.openxmlformats.org/officeDocument/2006/relationships/hyperlink" Target="https://www.southpacifictoursvanuatu.com/en/" TargetMode="External" /><Relationship Id="rIdLeadLink97" Type="http://schemas.openxmlformats.org/officeDocument/2006/relationships/hyperlink" Target="mailto:linhtailorhoian@gmail.com" TargetMode="External" /><Relationship Id="rIdLeadLink98" Type="http://schemas.openxmlformats.org/officeDocument/2006/relationships/hyperlink" Target="https://linhtailor.com/" TargetMode="External" /><Relationship Id="rIdLeadLink99" Type="http://schemas.openxmlformats.org/officeDocument/2006/relationships/hyperlink" Target="mailto:wincustomtailor@gmail.com" TargetMode="External" /><Relationship Id="rIdLeadLink100" Type="http://schemas.openxmlformats.org/officeDocument/2006/relationships/hyperlink" Target="https://www.hoiantailor.com/" TargetMode="External" /><Relationship Id="rIdLeadLink101" Type="http://schemas.openxmlformats.org/officeDocument/2006/relationships/hyperlink" Target="mailto:viveroelceibo@hotmail.com" TargetMode="External" /><Relationship Id="rIdLeadLink102" Type="http://schemas.openxmlformats.org/officeDocument/2006/relationships/hyperlink" Target="https://www.guiaurbana.com.ar/empresas/el-ceibo-cordoba" TargetMode="External" /><Relationship Id="rIdLeadLink103" Type="http://schemas.openxmlformats.org/officeDocument/2006/relationships/hyperlink" Target="https://ar.todosnegocios.com/el-ceibo_7i-0351-462-1813" TargetMode="External" /><Relationship Id="rIdLeadLink104" Type="http://schemas.openxmlformats.org/officeDocument/2006/relationships/hyperlink" Target="mailto:gabymor_63@hotmail.com" TargetMode="External" /><Relationship Id="rIdLeadLink105" Type="http://schemas.openxmlformats.org/officeDocument/2006/relationships/hyperlink" Target="https://bo.todosnegocios.com/boutique-on-line-sin-secretos-73266896" TargetMode="External" /><Relationship Id="rIdLeadLink106" Type="http://schemas.openxmlformats.org/officeDocument/2006/relationships/hyperlink" Target="tel:+59122201930" TargetMode="External" /><Relationship Id="rIdLeadLink107" Type="http://schemas.openxmlformats.org/officeDocument/2006/relationships/hyperlink" Target="https://bo.todosnegocios.com/infinito-soluciones-inform%C3%A1ticas-2-2201930" TargetMode="External" /><Relationship Id="rIdLeadLink108" Type="http://schemas.openxmlformats.org/officeDocument/2006/relationships/hyperlink" Target="tel:+551155064929" TargetMode="External" /><Relationship Id="rIdLeadLink109" Type="http://schemas.openxmlformats.org/officeDocument/2006/relationships/hyperlink" Target="https://restaurantguru.com/Dona-So-Sao-Paulo" TargetMode="External" /><Relationship Id="rIdLeadLink110" Type="http://schemas.openxmlformats.org/officeDocument/2006/relationships/hyperlink" Target="https://br.todosnegocios.com/pt/dona-s%C3%B4-restaurante-11-5506-4929" TargetMode="External" /><Relationship Id="rIdLeadLink111" Type="http://schemas.openxmlformats.org/officeDocument/2006/relationships/hyperlink" Target="tel:+551131677773" TargetMode="External" /><Relationship Id="rIdLeadLink112" Type="http://schemas.openxmlformats.org/officeDocument/2006/relationships/hyperlink" Target="https://br.todosnegocios.com/pt/levels-restaurante-11-3167-7773" TargetMode="External" /><Relationship Id="rIdLeadLink113" Type="http://schemas.openxmlformats.org/officeDocument/2006/relationships/hyperlink" Target="tel:+15198373170" TargetMode="External" /><Relationship Id="rIdLeadLink114" Type="http://schemas.openxmlformats.org/officeDocument/2006/relationships/hyperlink" Target="https://www.wellington.ca/business-development/business-directory/bodyworks-brian-j-hoffman" TargetMode="External" /><Relationship Id="rIdLeadLink115" Type="http://schemas.openxmlformats.org/officeDocument/2006/relationships/hyperlink" Target="https://www.yellowpages.ca/bus/Ontario/Guelph/Bodyworks-By-Brian-J-Hoffman/212034.html" TargetMode="External" /><Relationship Id="rIdLeadLink116" Type="http://schemas.openxmlformats.org/officeDocument/2006/relationships/hyperlink" Target="tel:+16475684800" TargetMode="External" /><Relationship Id="rIdLeadLink117" Type="http://schemas.openxmlformats.org/officeDocument/2006/relationships/hyperlink" Target="https://www.canpages.ca/page/ON/mike-the-electrician-guy/104333267" TargetMode="External" /><Relationship Id="rIdLeadLink118" Type="http://schemas.openxmlformats.org/officeDocument/2006/relationships/hyperlink" Target="https://www.yellowpages.ca/bus/Canada/Mike-The-Electrician-Guy/104333267.html" TargetMode="External" /><Relationship Id="rIdLeadLink119" Type="http://schemas.openxmlformats.org/officeDocument/2006/relationships/hyperlink" Target="mailto:gimnasio.freesport@gmail.com" TargetMode="External" /><Relationship Id="rIdLeadLink120" Type="http://schemas.openxmlformats.org/officeDocument/2006/relationships/hyperlink" Target="https://cl.todosnegocios.com/gimnasio-club-free-sport-9-6271-7988" TargetMode="External" /><Relationship Id="rIdLeadLink121" Type="http://schemas.openxmlformats.org/officeDocument/2006/relationships/hyperlink" Target="mailto:supermarketninolandia@hotmail.com" TargetMode="External" /><Relationship Id="rIdLeadLink122" Type="http://schemas.openxmlformats.org/officeDocument/2006/relationships/hyperlink" Target="https://directoriomedellin.com.co/medellin/comercio/ninolandia/" TargetMode="External" /><Relationship Id="rIdLeadLink123" Type="http://schemas.openxmlformats.org/officeDocument/2006/relationships/hyperlink" Target="https://co.todosnegocios.com/ni%C3%B1olandia" TargetMode="External" /><Relationship Id="rIdLeadLink124" Type="http://schemas.openxmlformats.org/officeDocument/2006/relationships/hyperlink" Target="mailto:paellasadomiciliomedellin@gmail.com" TargetMode="External" /><Relationship Id="rIdLeadLink125" Type="http://schemas.openxmlformats.org/officeDocument/2006/relationships/hyperlink" Target="https://co.todosnegocios.com/paellas-a-domicilio-medell%C3%ADn-315-4396749" TargetMode="External" /><Relationship Id="rIdLeadLink126" Type="http://schemas.openxmlformats.org/officeDocument/2006/relationships/hyperlink" Target="tel:+50622903350" TargetMode="External" /><Relationship Id="rIdLeadLink127" Type="http://schemas.openxmlformats.org/officeDocument/2006/relationships/hyperlink" Target="https://es.cybo.com/CR-biz/cyber-bodega" TargetMode="External" /><Relationship Id="rIdLeadLink128" Type="http://schemas.openxmlformats.org/officeDocument/2006/relationships/hyperlink" Target="mailto:vetmovil.ecu@gmail.com" TargetMode="External" /><Relationship Id="rIdLeadLink129" Type="http://schemas.openxmlformats.org/officeDocument/2006/relationships/hyperlink" Target="https://ec.todosnegocios.com/traumatolog%C3%ADa-y-ortopedia-veterinaria-098-438-9221" TargetMode="External" /><Relationship Id="rIdLeadLink130" Type="http://schemas.openxmlformats.org/officeDocument/2006/relationships/hyperlink" Target="https://ec.todosnegocios.com/vetm-u-f-vil-ecu-098-786-9206" TargetMode="External" /><Relationship Id="rIdLeadLink131" Type="http://schemas.openxmlformats.org/officeDocument/2006/relationships/hyperlink" Target="tel:+13057514550" TargetMode="External" /><Relationship Id="rIdLeadLink132" Type="http://schemas.openxmlformats.org/officeDocument/2006/relationships/hyperlink" Target="https://www.loc8nearme.com/florida/miami/bortan-fabrics-inc/8406682/" TargetMode="External" /><Relationship Id="rIdLeadLink133" Type="http://schemas.openxmlformats.org/officeDocument/2006/relationships/hyperlink" Target="https://www.yellowpages.com/miami-fl/mip/bortan-fabrics-inc-6622535" TargetMode="External" /><Relationship Id="rIdLeadLink134" Type="http://schemas.openxmlformats.org/officeDocument/2006/relationships/hyperlink" Target="tel:+13052711777" TargetMode="External" /><Relationship Id="rIdLeadLink135" Type="http://schemas.openxmlformats.org/officeDocument/2006/relationships/hyperlink" Target="https://www.buildzoom.com/contractor/strong-plumbing-llc" TargetMode="External" /><Relationship Id="rIdLeadLink136" Type="http://schemas.openxmlformats.org/officeDocument/2006/relationships/hyperlink" Target="https://www.yellowpages.com/miami-fl/mip/strong-plumbing-6322784" TargetMode="External" /><Relationship Id="rIdLeadLink137" Type="http://schemas.openxmlformats.org/officeDocument/2006/relationships/hyperlink" Target="tel:+50246464607" TargetMode="External" /><Relationship Id="rIdLeadLink138" Type="http://schemas.openxmlformats.org/officeDocument/2006/relationships/hyperlink" Target="https://guate502.com/d/el-pueblito-zona-1-ciudad-de-guatemala/" TargetMode="External" /><Relationship Id="rIdLeadLink139" Type="http://schemas.openxmlformats.org/officeDocument/2006/relationships/hyperlink" Target="https://es.cybo.com/GT-biz/el-pueblito" TargetMode="External" /><Relationship Id="rIdLeadLink140" Type="http://schemas.openxmlformats.org/officeDocument/2006/relationships/hyperlink" Target="tel:+5072249720" TargetMode="External" /><Relationship Id="rIdLeadLink141" Type="http://schemas.openxmlformats.org/officeDocument/2006/relationships/hyperlink" Target="https://www.facebook.com/pages/Restaurante-El-Montuno/247339918639676" TargetMode="External" /><Relationship Id="rIdLeadLink142" Type="http://schemas.openxmlformats.org/officeDocument/2006/relationships/hyperlink" Target="https://es.cybo.com/PA-biz/restaurante-el-montuno" TargetMode="External" /><Relationship Id="rIdLeadLink143" Type="http://schemas.openxmlformats.org/officeDocument/2006/relationships/hyperlink" Target="tel:+59521290917" TargetMode="External" /><Relationship Id="rIdLeadLink144" Type="http://schemas.openxmlformats.org/officeDocument/2006/relationships/hyperlink" Target="https://py.todosnegocios.com/colegio-nuestra-se%C3%B1ora-de-la-asunci%C3%B3n_4W-021-290-917" TargetMode="External" /><Relationship Id="rIdLeadLink145" Type="http://schemas.openxmlformats.org/officeDocument/2006/relationships/hyperlink" Target="tel:+51958798514" TargetMode="External" /><Relationship Id="rIdLeadLink146" Type="http://schemas.openxmlformats.org/officeDocument/2006/relationships/hyperlink" Target="https://www.tripadvisor.com.pe/Restaurant_Review-g294313-d1993325-Reviews-Arthur_Restaurant-Arequipa_Arequipa_Region.html" TargetMode="External" /><Relationship Id="rIdLeadLink147" Type="http://schemas.openxmlformats.org/officeDocument/2006/relationships/hyperlink" Target="https://pe.todosnegocios.com/arthur-restaurant-958-798-514" TargetMode="External" /><Relationship Id="rIdLeadLink148" Type="http://schemas.openxmlformats.org/officeDocument/2006/relationships/hyperlink" Target="tel:+18097329434" TargetMode="External" /><Relationship Id="rIdLeadLink149" Type="http://schemas.openxmlformats.org/officeDocument/2006/relationships/hyperlink" Target="https://es.cybo.com/DO-biz/smartworld_1v" TargetMode="External" /><Relationship Id="rIdLeadLink150" Type="http://schemas.openxmlformats.org/officeDocument/2006/relationships/hyperlink" Target="tel:+18095690000" TargetMode="External" /><Relationship Id="rIdLeadLink151" Type="http://schemas.openxmlformats.org/officeDocument/2006/relationships/hyperlink" Target="https://technoshop.com.do/" TargetMode="External" /><Relationship Id="rIdLeadLink152" Type="http://schemas.openxmlformats.org/officeDocument/2006/relationships/hyperlink" Target="https://es.cybo.com/DO-biz/techno-shop" TargetMode="External" /><Relationship Id="rIdLeadLink153" Type="http://schemas.openxmlformats.org/officeDocument/2006/relationships/hyperlink" Target="mailto:mvdhostel@montevideohostel.com.uy" TargetMode="External" /><Relationship Id="rIdLeadLink154" Type="http://schemas.openxmlformats.org/officeDocument/2006/relationships/hyperlink" Target="https://www.fing.edu.uy/paginas/hostels-en-montevideo" TargetMode="External" /><Relationship Id="rIdLeadLink155" Type="http://schemas.openxmlformats.org/officeDocument/2006/relationships/hyperlink" Target="https://uy.todosnegocios.com/montevideo-hostel-2908-1324" TargetMode="External" /><Relationship Id="rIdLeadLink156" Type="http://schemas.openxmlformats.org/officeDocument/2006/relationships/hyperlink" Target="tel:+59898664159" TargetMode="External" /><Relationship Id="rIdLeadLink157" Type="http://schemas.openxmlformats.org/officeDocument/2006/relationships/hyperlink" Target="https://uy.todosnegocios.com/que-ofert%C3%B3n-098-664-159" TargetMode="External" /><Relationship Id="rIdLeadLink158" Type="http://schemas.openxmlformats.org/officeDocument/2006/relationships/hyperlink" Target="https://www.expressvet.ec/" TargetMode="External" /><Relationship Id="rIdLeadLink159" Type="http://schemas.openxmlformats.org/officeDocument/2006/relationships/hyperlink" Target="https://www.expressvet.ec/" TargetMode="External" /><Relationship Id="rIdLeadLink160" Type="http://schemas.openxmlformats.org/officeDocument/2006/relationships/hyperlink" Target="https://ec.todosnegocios.com/centro-de-atenci%C3%B3n-veterinaria-y-099-569-9136" TargetMode="External" /><Relationship Id="rIdLeadLink161" Type="http://schemas.openxmlformats.org/officeDocument/2006/relationships/hyperlink" Target="tel:+50762739561" TargetMode="External" /><Relationship Id="rIdLeadLink162" Type="http://schemas.openxmlformats.org/officeDocument/2006/relationships/hyperlink" Target="https://www.despachoprimeradama.gob.pa/publicacion/primera-dama-visita-sabores-del-chorrillo-para-conocer-su-potencial-gastronomico-turistico-y-valorar-oportunidades-para-su-fortalecimiento-" TargetMode="External" /><Relationship Id="rIdLeadLink163" Type="http://schemas.openxmlformats.org/officeDocument/2006/relationships/hyperlink" Target="https://www.todosbiz.com/PA/sabores-del-chorrillo_3J-6273-9561" TargetMode="External" /></Relationships>
</file>

<file path=xl/worksheets/_rels/sheet2.xml.rels>&#65279;<?xml version="1.0" encoding="utf-8"?><Relationships xmlns="http://schemas.openxmlformats.org/package/2006/relationships"><Relationship Type="http://schemas.openxmlformats.org/officeDocument/2006/relationships/table" Target="/xl/tables/table2.xml" Id="R36218ec7e0834ecc" /></Relationships>
</file>

<file path=xl/worksheets/sheet1.xml><?xml version="1.0" encoding="utf-8"?>
<x:worksheet xmlns:r="http://schemas.openxmlformats.org/officeDocument/2006/relationships" xmlns:x="http://schemas.openxmlformats.org/spreadsheetml/2006/main">
  <x:sheetPr>
    <x:tabColor rgb="FF102A43"/>
  </x:sheetPr>
  <x:sheetViews>
    <x:sheetView showGridLines="0" workbookViewId="0">
      <x:pane xSplit="2" ySplit="8" topLeftCell="C9" activePane="bottomRight" state="frozen"/>
    </x:sheetView>
  </x:sheetViews>
  <x:sheetFormatPr defaultRowHeight="15"/>
  <x:cols>
    <x:col min="1" max="1" width="13.130000114440918" hidden="0" customWidth="1"/>
    <x:col min="2" max="2" width="29.75" hidden="0" customWidth="1"/>
    <x:col min="3" max="3" width="22.75" hidden="0" customWidth="1"/>
    <x:col min="4" max="4" width="17" hidden="0" customWidth="1"/>
    <x:col min="5" max="5" width="32.75" hidden="0" customWidth="1"/>
    <x:col min="6" max="6" width="20.6299991607666" hidden="0" customWidth="1"/>
    <x:col min="7" max="7" width="13.130000114440918" hidden="0" customWidth="1"/>
    <x:col min="8" max="8" width="20.6299991607666" hidden="0" customWidth="1"/>
    <x:col min="9" max="9" width="13.25" hidden="0" customWidth="1"/>
    <x:col min="10" max="10" width="18.5" hidden="0" customWidth="1"/>
    <x:col min="11" max="11" width="45" hidden="0" customWidth="1"/>
    <x:col min="12" max="12" width="35.630001068115234" hidden="0" customWidth="1"/>
    <x:col min="13" max="13" width="63.75" hidden="0" customWidth="1"/>
    <x:col min="14" max="14" width="24.3799991607666" hidden="0" customWidth="1"/>
    <x:col min="15" max="15" width="14.380000114440918" hidden="0" customWidth="1"/>
    <x:col min="16" max="16" width="18.75" hidden="0" customWidth="1"/>
    <x:col min="17" max="17" width="15" hidden="0" customWidth="1"/>
    <x:col min="18" max="18" width="16.5" hidden="0" customWidth="1"/>
    <x:col min="19" max="19" width="43.75" hidden="0" customWidth="1"/>
    <x:col min="20" max="20" width="11.25" hidden="0" customWidth="1"/>
    <x:col min="21" max="21" width="3" hidden="0" customWidth="1"/>
    <x:col min="22" max="22" width="55" hidden="0" customWidth="1"/>
    <x:col min="23" max="23" width="55" hidden="0" customWidth="1"/>
  </x:cols>
  <x:sheetData>
    <x:row r="1">
      <x:c r="A1" s="2"/>
      <x:c r="B1" s="2"/>
      <x:c r="C1" s="2"/>
      <x:c r="D1" s="2"/>
      <x:c r="E1" s="2"/>
      <x:c r="F1" s="2"/>
      <x:c r="G1" s="2"/>
      <x:c r="H1" s="2"/>
      <x:c r="I1" s="2"/>
      <x:c r="J1" s="2"/>
      <x:c r="K1" s="2"/>
      <x:c r="L1" s="2"/>
      <x:c r="M1" s="2"/>
      <x:c r="N1" s="2"/>
      <x:c r="O1" s="2"/>
      <x:c r="P1" s="2"/>
      <x:c r="Q1" s="2"/>
      <x:c r="R1" s="2"/>
      <x:c r="S1" s="2"/>
      <x:c r="T1" s="2"/>
      <x:c r="U1" s="2"/>
      <x:c r="V1" s="2"/>
      <x:c r="W1" s="2"/>
    </x:row>
    <x:row r="2" ht="28" customHeight="1">
      <x:c r="A2" s="3" t="str">
        <x:v>TRAZA · Clientes potenciales del mundo</x:v>
      </x:c>
      <x:c r="B2" s="3"/>
      <x:c r="C2" s="3"/>
      <x:c r="D2" s="3"/>
      <x:c r="E2" s="3"/>
      <x:c r="F2" s="3"/>
      <x:c r="G2" s="3"/>
      <x:c r="H2" s="3"/>
      <x:c r="I2" s="3"/>
      <x:c r="J2" s="3"/>
      <x:c r="K2" s="3"/>
      <x:c r="L2" s="3"/>
      <x:c r="M2" s="3"/>
      <x:c r="N2" s="3"/>
      <x:c r="O2" s="3"/>
      <x:c r="P2" s="3"/>
      <x:c r="Q2" s="3"/>
      <x:c r="R2" s="3"/>
      <x:c r="S2" s="3"/>
      <x:c r="T2" s="3"/>
      <x:c r="U2" s="3"/>
      <x:c r="V2" s="3"/>
      <x:c r="W2" s="3"/>
    </x:row>
    <x:row r="3" ht="24" customHeight="1">
      <x:c r="A3" s="4" t="str">
        <x:v>72 negocios · 36 países · 5 continentes · actualización 23/09/2026</x:v>
      </x:c>
      <x:c r="B3" s="4"/>
      <x:c r="C3" s="4"/>
      <x:c r="D3" s="4"/>
      <x:c r="E3" s="4"/>
      <x:c r="F3" s="4"/>
      <x:c r="G3" s="4"/>
      <x:c r="H3" s="4"/>
      <x:c r="I3" s="4"/>
      <x:c r="J3" s="4"/>
      <x:c r="K3" s="4"/>
      <x:c r="L3" s="4"/>
      <x:c r="M3" s="4"/>
      <x:c r="N3" s="4"/>
      <x:c r="O3" s="4"/>
      <x:c r="P3" s="4"/>
      <x:c r="Q3" s="4"/>
      <x:c r="R3" s="4"/>
      <x:c r="S3" s="4"/>
      <x:c r="T3" s="4"/>
      <x:c r="U3" s="4"/>
      <x:c r="V3" s="4"/>
      <x:c r="W3" s="4"/>
    </x:row>
    <x:row r="4" ht="24" customHeight="1">
      <x:c r="A4" s="2" t="str">
        <x:v>Filtrá por prioridad, país o rubro. “Revalidar” conserva datos anteriores. Las oportunidades son propuestas, no necesidades confirmadas.</x:v>
      </x:c>
      <x:c r="B4" s="2"/>
      <x:c r="C4" s="2"/>
      <x:c r="D4" s="2"/>
      <x:c r="E4" s="2"/>
      <x:c r="F4" s="2"/>
      <x:c r="G4" s="2"/>
      <x:c r="H4" s="2"/>
      <x:c r="I4" s="2"/>
      <x:c r="J4" s="2"/>
      <x:c r="K4" s="2"/>
      <x:c r="L4" s="2"/>
      <x:c r="M4" s="2"/>
      <x:c r="N4" s="2"/>
      <x:c r="O4" s="2"/>
      <x:c r="P4" s="2"/>
      <x:c r="Q4" s="2"/>
      <x:c r="R4" s="2"/>
      <x:c r="S4" s="2"/>
      <x:c r="T4" s="2"/>
      <x:c r="U4" s="2"/>
      <x:c r="V4" s="2"/>
      <x:c r="W4" s="2"/>
    </x:row>
    <x:row r="5">
      <x:c r="A5" s="2"/>
      <x:c r="B5" s="2"/>
      <x:c r="C5" s="2"/>
      <x:c r="D5" s="2"/>
      <x:c r="E5" s="2"/>
      <x:c r="F5" s="2"/>
      <x:c r="G5" s="2"/>
      <x:c r="H5" s="2"/>
      <x:c r="I5" s="2"/>
      <x:c r="J5" s="2"/>
      <x:c r="K5" s="2"/>
      <x:c r="L5" s="2"/>
      <x:c r="M5" s="2"/>
      <x:c r="N5" s="2"/>
      <x:c r="O5" s="2"/>
      <x:c r="P5" s="2"/>
      <x:c r="Q5" s="2"/>
      <x:c r="R5" s="2"/>
      <x:c r="S5" s="2"/>
      <x:c r="T5" s="2"/>
      <x:c r="U5" s="2"/>
      <x:c r="V5" s="2"/>
      <x:c r="W5" s="2"/>
    </x:row>
    <x:row r="6" ht="23" customHeight="1">
      <x:c r="A6" s="5" t="str">
        <x:v>TOTAL</x:v>
      </x:c>
      <x:c r="B6" s="2"/>
      <x:c r="C6" s="5" t="str">
        <x:v>REVISADOS 23/09</x:v>
      </x:c>
      <x:c r="D6" s="2"/>
      <x:c r="E6" s="5" t="str">
        <x:v>POR REVALIDAR</x:v>
      </x:c>
      <x:c r="F6" s="2"/>
      <x:c r="G6" s="5" t="str">
        <x:v>ALTA</x:v>
      </x:c>
      <x:c r="H6" s="2"/>
      <x:c r="I6" s="2"/>
      <x:c r="J6" s="2"/>
      <x:c r="K6" s="2"/>
      <x:c r="L6" s="2"/>
      <x:c r="M6" s="2"/>
      <x:c r="N6" s="2"/>
      <x:c r="O6" s="2"/>
      <x:c r="P6" s="2"/>
      <x:c r="Q6" s="2"/>
      <x:c r="R6" s="2"/>
      <x:c r="S6" s="2"/>
      <x:c r="T6" s="2"/>
      <x:c r="U6" s="2"/>
      <x:c r="V6" s="2"/>
      <x:c r="W6" s="2"/>
    </x:row>
    <x:row r="7" ht="28" customHeight="1">
      <x:c r="A7" s="6" t="n">
        <x:f>COUNTA(B9:B80)</x:f>
        <x:v>72</x:v>
      </x:c>
      <x:c r="B7" s="2"/>
      <x:c r="C7" s="6" t="n">
        <x:f>COUNTIFS(O9:O80,DATE(2026,9,23))</x:f>
        <x:v>50</x:v>
      </x:c>
      <x:c r="D7" s="2"/>
      <x:c r="E7" s="6" t="n">
        <x:f>COUNTIFS(A9:A80,"Revalidar")</x:f>
        <x:v>22</x:v>
      </x:c>
      <x:c r="F7" s="2"/>
      <x:c r="G7" s="6" t="n">
        <x:f>COUNTIFS(A9:A80,"Alta")</x:f>
        <x:v>11</x:v>
      </x:c>
      <x:c r="H7" s="2"/>
      <x:c r="I7" s="2"/>
      <x:c r="J7" s="2"/>
      <x:c r="K7" s="2"/>
      <x:c r="L7" s="2"/>
      <x:c r="M7" s="2"/>
      <x:c r="N7" s="2"/>
      <x:c r="O7" s="2"/>
      <x:c r="P7" s="2"/>
      <x:c r="Q7" s="2"/>
      <x:c r="R7" s="2"/>
      <x:c r="S7" s="2"/>
      <x:c r="T7" s="2"/>
      <x:c r="U7" s="2"/>
      <x:c r="V7" s="2"/>
      <x:c r="W7" s="2"/>
    </x:row>
    <x:row r="8" ht="34" customHeight="1">
      <x:c r="A8" s="10" t="str">
        <x:v>Prioridad</x:v>
      </x:c>
      <x:c r="B8" s="10" t="str">
        <x:v>Negocio</x:v>
      </x:c>
      <x:c r="C8" s="10" t="str">
        <x:v>Rubro</x:v>
      </x:c>
      <x:c r="D8" s="10" t="str">
        <x:v>País</x:v>
      </x:c>
      <x:c r="E8" s="10" t="str">
        <x:v>Email público</x:v>
      </x:c>
      <x:c r="F8" s="10" t="str">
        <x:v>Teléfono público</x:v>
      </x:c>
      <x:c r="G8" s="10" t="str">
        <x:v>Contactar</x:v>
      </x:c>
      <x:c r="H8" s="10" t="str">
        <x:v>Ciudad / zona</x:v>
      </x:c>
      <x:c r="I8" s="10" t="str">
        <x:v>Continente</x:v>
      </x:c>
      <x:c r="J8" s="10" t="str">
        <x:v>Idioma sugerido</x:v>
      </x:c>
      <x:c r="K8" s="10" t="str">
        <x:v>Qué ofrecer (hipótesis)</x:v>
      </x:c>
      <x:c r="L8" s="10" t="str">
        <x:v>Situación web</x:v>
      </x:c>
      <x:c r="M8" s="10" t="str">
        <x:v>Observación y validación pendiente</x:v>
      </x:c>
      <x:c r="N8" s="10" t="str">
        <x:v>Alcance de revisión</x:v>
      </x:c>
      <x:c r="O8" s="10" t="str">
        <x:v>Fuente consultada el</x:v>
      </x:c>
      <x:c r="P8" s="10" t="str">
        <x:v>Estado contacto</x:v>
      </x:c>
      <x:c r="Q8" s="10" t="str">
        <x:v>Último contacto</x:v>
      </x:c>
      <x:c r="R8" s="10" t="str">
        <x:v>Próximo seguimiento</x:v>
      </x:c>
      <x:c r="S8" s="10" t="str">
        <x:v>Notas de seguimiento</x:v>
      </x:c>
      <x:c r="T8" s="10" t="str">
        <x:v>ID</x:v>
      </x:c>
      <x:c r="U8" s="16" t="str">
        <x:v> </x:v>
      </x:c>
      <x:c r="V8" s="14" t="str">
        <x:v>Fuente pública principal</x:v>
      </x:c>
      <x:c r="W8" s="14" t="str">
        <x:v>Fuente complementaria</x:v>
      </x:c>
    </x:row>
    <x:row r="9" ht="64" customHeight="1">
      <x:c r="A9" s="15" t="str">
        <x:v>Alta</x:v>
      </x:c>
      <x:c r="B9" s="15" t="str">
        <x:v>Techmovil</x:v>
      </x:c>
      <x:c r="C9" s="15" t="str">
        <x:v>Venta de celulares y computadoras</x:v>
      </x:c>
      <x:c r="D9" s="15" t="str">
        <x:v>Costa Rica</x:v>
      </x:c>
      <x:c r="E9" s="18" t="str">
        <x:v>—</x:v>
      </x:c>
      <x:c r="F9" s="18" t="str">
        <x:v>+506 86438080</x:v>
      </x:c>
      <x:c r="G9" s="25" t="str">
        <x:v>WhatsApp</x:v>
      </x:c>
      <x:c r="H9" s="15" t="str">
        <x:v>Curridabat</x:v>
      </x:c>
      <x:c r="I9" s="15" t="str">
        <x:v>América</x:v>
      </x:c>
      <x:c r="J9" s="15" t="str">
        <x:v>Español</x:v>
      </x:c>
      <x:c r="K9" s="15" t="str">
        <x:v>Destacar productos y facilitar consultas desde el catálogo.</x:v>
      </x:c>
      <x:c r="L9" s="15" t="str">
        <x:v>Web propia activa.</x:v>
      </x:c>
      <x:c r="M9" s="15" t="str">
        <x:v>La página publica 8643-8080 y enlaza WhatsApp a ese mismo número. Presenta contactos y reseñas antes de productos. Ofrecer mayor visibilidad del catálogo.</x:v>
      </x:c>
      <x:c r="N9" s="15" t="str">
        <x:v>Web oficial consultada</x:v>
      </x:c>
      <x:c r="O9" s="20" t="n">
        <x:v>46288</x:v>
      </x:c>
      <x:c r="P9" s="22" t="str">
        <x:v>No contactado</x:v>
      </x:c>
      <x:c r="Q9" s="23"/>
      <x:c r="R9" s="23"/>
      <x:c r="S9" s="24" t="str"/>
      <x:c r="T9" s="15" t="str">
        <x:v>GL-019</x:v>
      </x:c>
      <x:c r="U9" s="17"/>
      <x:c r="V9" s="26" t="str">
        <x:v>https://techmovilcr.com/</x:v>
      </x:c>
      <x:c r="W9" s="26" t="str">
        <x:v>https://es.cybo.com/CR-biz/techmovil</x:v>
      </x:c>
    </x:row>
    <x:row r="10" ht="64" customHeight="1">
      <x:c r="A10" s="15" t="str">
        <x:v>Alta</x:v>
      </x:c>
      <x:c r="B10" s="15" t="str">
        <x:v>Aranzazu Estudio</x:v>
      </x:c>
      <x:c r="C10" s="15" t="str">
        <x:v>Cerámica / cursos</x:v>
      </x:c>
      <x:c r="D10" s="15" t="str">
        <x:v>España</x:v>
      </x:c>
      <x:c r="E10" s="18" t="str">
        <x:v>info.aranzazuestudio@gmail.com</x:v>
      </x:c>
      <x:c r="F10" s="18" t="str">
        <x:v>+34 666 008 988</x:v>
      </x:c>
      <x:c r="G10" s="25" t="str">
        <x:v>Enviar email</x:v>
      </x:c>
      <x:c r="H10" s="15" t="str">
        <x:v>Arroyomolinos</x:v>
      </x:c>
      <x:c r="I10" s="15" t="str">
        <x:v>Europa</x:v>
      </x:c>
      <x:c r="J10" s="15" t="str">
        <x:v>Español</x:v>
      </x:c>
      <x:c r="K10" s="15" t="str">
        <x:v>Página de clases con consulta por nivel y horario.</x:v>
      </x:c>
      <x:c r="L10" s="15" t="str">
        <x:v>Web propia consultada</x:v>
      </x:c>
      <x:c r="M10" s="15" t="str">
        <x:v>La portada invita a consultar horarios y reservar por email o WhatsApp.</x:v>
      </x:c>
      <x:c r="N10" s="15" t="str">
        <x:v>Página consultada</x:v>
      </x:c>
      <x:c r="O10" s="20" t="n">
        <x:v>46288</x:v>
      </x:c>
      <x:c r="P10" s="22" t="str">
        <x:v>No contactado</x:v>
      </x:c>
      <x:c r="Q10" s="23"/>
      <x:c r="R10" s="23"/>
      <x:c r="S10" s="24" t="str"/>
      <x:c r="T10" s="15" t="str">
        <x:v>GL-033</x:v>
      </x:c>
      <x:c r="U10" s="17"/>
      <x:c r="V10" s="26" t="str">
        <x:v>https://www.aranzazuestudio.com/</x:v>
      </x:c>
      <x:c r="W10" s="26" t="str"/>
    </x:row>
    <x:row r="11" ht="64" customHeight="1">
      <x:c r="A11" s="15" t="str">
        <x:v>Alta</x:v>
      </x:c>
      <x:c r="B11" s="15" t="str">
        <x:v>Rehoboth Furniture &amp; Construction</x:v>
      </x:c>
      <x:c r="C11" s="15" t="str">
        <x:v>Muebles / carpintería</x:v>
      </x:c>
      <x:c r="D11" s="15" t="str">
        <x:v>Ghana</x:v>
      </x:c>
      <x:c r="E11" s="18" t="str">
        <x:v>info@rehobothfurnituregh.com</x:v>
      </x:c>
      <x:c r="F11" s="18" t="str">
        <x:v>+233 55 4452796</x:v>
      </x:c>
      <x:c r="G11" s="25" t="str">
        <x:v>Enviar email</x:v>
      </x:c>
      <x:c r="H11" s="15" t="str">
        <x:v>Accra</x:v>
      </x:c>
      <x:c r="I11" s="15" t="str">
        <x:v>África</x:v>
      </x:c>
      <x:c r="J11" s="15" t="str">
        <x:v>Inglés</x:v>
      </x:c>
      <x:c r="K11" s="15" t="str">
        <x:v>Corregir teléfono de plantilla y ordenar consultas a medida.</x:v>
      </x:c>
      <x:c r="L11" s="15" t="str">
        <x:v>Web propia consultada</x:v>
      </x:c>
      <x:c r="M11" s="15" t="str">
        <x:v>La portada muestra +001 234 56 78 en bloques de contacto, además del teléfono comercial de Ghana.</x:v>
      </x:c>
      <x:c r="N11" s="15" t="str">
        <x:v>Página consultada</x:v>
      </x:c>
      <x:c r="O11" s="20" t="n">
        <x:v>46288</x:v>
      </x:c>
      <x:c r="P11" s="22" t="str">
        <x:v>No contactado</x:v>
      </x:c>
      <x:c r="Q11" s="23"/>
      <x:c r="R11" s="23"/>
      <x:c r="S11" s="24" t="str"/>
      <x:c r="T11" s="15" t="str">
        <x:v>GL-050</x:v>
      </x:c>
      <x:c r="U11" s="17"/>
      <x:c r="V11" s="26" t="str">
        <x:v>https://rehobothfurnituregh.com/</x:v>
      </x:c>
      <x:c r="W11" s="26" t="str"/>
    </x:row>
    <x:row r="12" ht="64" customHeight="1">
      <x:c r="A12" s="15" t="str">
        <x:v>Alta</x:v>
      </x:c>
      <x:c r="B12" s="15" t="str">
        <x:v>Centro de Eventos Las Morenas</x:v>
      </x:c>
      <x:c r="C12" s="15" t="str">
        <x:v>Centro de eventos</x:v>
      </x:c>
      <x:c r="D12" s="15" t="str">
        <x:v>Guatemala</x:v>
      </x:c>
      <x:c r="E12" s="18" t="str">
        <x:v>—</x:v>
      </x:c>
      <x:c r="F12" s="18" t="str">
        <x:v>+502 54942822</x:v>
      </x:c>
      <x:c r="G12" s="25" t="str">
        <x:v>Llamar</x:v>
      </x:c>
      <x:c r="H12" s="15" t="str">
        <x:v>San Sebastián, Retalhuleu</x:v>
      </x:c>
      <x:c r="I12" s="15" t="str">
        <x:v>América</x:v>
      </x:c>
      <x:c r="J12" s="15" t="str">
        <x:v>Español</x:v>
      </x:c>
      <x:c r="K12" s="15" t="str">
        <x:v>Mejorar la página de salones y las consultas de fechas.</x:v>
      </x:c>
      <x:c r="L12" s="15" t="str">
        <x:v>Página de eventos dentro de ASDESARROLLO.</x:v>
      </x:c>
      <x:c r="M12" s="15" t="str">
        <x:v>Publica teléfono del coordinador y salones para 100 y 300 personas. Proponer consulta estructurada por fecha, invitados y tipo de evento.</x:v>
      </x:c>
      <x:c r="N12" s="15" t="str">
        <x:v>Web oficial consultada</x:v>
      </x:c>
      <x:c r="O12" s="20" t="n">
        <x:v>46288</x:v>
      </x:c>
      <x:c r="P12" s="22" t="str">
        <x:v>No contactado</x:v>
      </x:c>
      <x:c r="Q12" s="23"/>
      <x:c r="R12" s="23"/>
      <x:c r="S12" s="24" t="str"/>
      <x:c r="T12" s="15" t="str">
        <x:v>GL-024</x:v>
      </x:c>
      <x:c r="U12" s="17"/>
      <x:c r="V12" s="26" t="str">
        <x:v>https://asdesarrollo.org/las-morenas/</x:v>
      </x:c>
      <x:c r="W12" s="26" t="str">
        <x:v>https://es.cybo.com/GT/ciudad-de-guatemala/servicios-locales</x:v>
      </x:c>
    </x:row>
    <x:row r="13" ht="64" customHeight="1">
      <x:c r="A13" s="15" t="str">
        <x:v>Alta</x:v>
      </x:c>
      <x:c r="B13" s="15" t="str">
        <x:v>PEXX / Poddar Exports</x:v>
      </x:c>
      <x:c r="C13" s="15" t="str">
        <x:v>Textiles / exportación</x:v>
      </x:c>
      <x:c r="D13" s="15" t="str">
        <x:v>India</x:v>
      </x:c>
      <x:c r="E13" s="18" t="str">
        <x:v>info@poddarexp.com</x:v>
      </x:c>
      <x:c r="F13" s="18" t="str">
        <x:v>No publicado</x:v>
      </x:c>
      <x:c r="G13" s="25" t="str">
        <x:v>Enviar email</x:v>
      </x:c>
      <x:c r="H13" s="15" t="str">
        <x:v>Jaipur</x:v>
      </x:c>
      <x:c r="I13" s="15" t="str">
        <x:v>Asia</x:v>
      </x:c>
      <x:c r="J13" s="15" t="str">
        <x:v>Inglés</x:v>
      </x:c>
      <x:c r="K13" s="15" t="str">
        <x:v>Formulario que envíe la consulta sin depender del correo del visitante.</x:v>
      </x:c>
      <x:c r="L13" s="15" t="str">
        <x:v>Web propia consultada</x:v>
      </x:c>
      <x:c r="M13" s="15" t="str">
        <x:v>El formulario informa que prepara un mensaje en el cliente de email y pide enviarlo para completar la consulta.</x:v>
      </x:c>
      <x:c r="N13" s="15" t="str">
        <x:v>Página consultada</x:v>
      </x:c>
      <x:c r="O13" s="20" t="n">
        <x:v>46288</x:v>
      </x:c>
      <x:c r="P13" s="22" t="str">
        <x:v>No contactado</x:v>
      </x:c>
      <x:c r="Q13" s="23"/>
      <x:c r="R13" s="23"/>
      <x:c r="S13" s="24" t="str"/>
      <x:c r="T13" s="15" t="str">
        <x:v>GL-054</x:v>
      </x:c>
      <x:c r="U13" s="17"/>
      <x:c r="V13" s="26" t="str">
        <x:v>https://www.poddarexp.com/contact.html</x:v>
      </x:c>
      <x:c r="W13" s="26" t="str"/>
    </x:row>
    <x:row r="14" ht="64" customHeight="1">
      <x:c r="A14" s="15" t="str">
        <x:v>Alta</x:v>
      </x:c>
      <x:c r="B14" s="15" t="str">
        <x:v>Indopurejoy Surf Bali</x:v>
      </x:c>
      <x:c r="C14" s="15" t="str">
        <x:v>Escuela de surf</x:v>
      </x:c>
      <x:c r="D14" s="15" t="str">
        <x:v>Indonesia</x:v>
      </x:c>
      <x:c r="E14" s="18" t="str">
        <x:v>indopurejoyhouse@gmail.com</x:v>
      </x:c>
      <x:c r="F14" s="18" t="str">
        <x:v>+62 821 47220123</x:v>
      </x:c>
      <x:c r="G14" s="25" t="str">
        <x:v>Enviar email</x:v>
      </x:c>
      <x:c r="H14" s="15" t="str">
        <x:v>Kuta, Bali</x:v>
      </x:c>
      <x:c r="I14" s="15" t="str">
        <x:v>Asia</x:v>
      </x:c>
      <x:c r="J14" s="15" t="str">
        <x:v>Inglés</x:v>
      </x:c>
      <x:c r="K14" s="15" t="str">
        <x:v>Unificar contactos y organizar consultas por nivel y fecha.</x:v>
      </x:c>
      <x:c r="L14" s="15" t="str">
        <x:v>Web propia consultada</x:v>
      </x:c>
      <x:c r="M14" s="15" t="str">
        <x:v>La página muestra info@surfbali.id y, en otra sección, info@surfbali.com; confirmar si ambos son correctos.</x:v>
      </x:c>
      <x:c r="N14" s="15" t="str">
        <x:v>Página consultada</x:v>
      </x:c>
      <x:c r="O14" s="20" t="n">
        <x:v>46288</x:v>
      </x:c>
      <x:c r="P14" s="22" t="str">
        <x:v>No contactado</x:v>
      </x:c>
      <x:c r="Q14" s="23"/>
      <x:c r="R14" s="23"/>
      <x:c r="S14" s="24" t="str"/>
      <x:c r="T14" s="15" t="str">
        <x:v>GL-061</x:v>
      </x:c>
      <x:c r="U14" s="17"/>
      <x:c r="V14" s="26" t="str">
        <x:v>https://surfbali.id/contact-surf-bali/</x:v>
      </x:c>
      <x:c r="W14" s="26" t="str"/>
    </x:row>
    <x:row r="15" ht="64" customHeight="1">
      <x:c r="A15" s="15" t="str">
        <x:v>Alta</x:v>
      </x:c>
      <x:c r="B15" s="15" t="str">
        <x:v>Riad Dess</x:v>
      </x:c>
      <x:c r="C15" s="15" t="str">
        <x:v>Alojamiento / riad</x:v>
      </x:c>
      <x:c r="D15" s="15" t="str">
        <x:v>Marruecos</x:v>
      </x:c>
      <x:c r="E15" s="18" t="str">
        <x:v>contact.riaddess@gmail.com</x:v>
      </x:c>
      <x:c r="F15" s="18" t="str">
        <x:v>+212 668 949415</x:v>
      </x:c>
      <x:c r="G15" s="25" t="str">
        <x:v>Enviar email</x:v>
      </x:c>
      <x:c r="H15" s="15" t="str">
        <x:v>Marrakech</x:v>
      </x:c>
      <x:c r="I15" s="15" t="str">
        <x:v>África</x:v>
      </x:c>
      <x:c r="J15" s="15" t="str">
        <x:v>Francés o inglés</x:v>
      </x:c>
      <x:c r="K15" s="15" t="str">
        <x:v>Ampliar la página con fichas de habitaciones y consulta de fechas.</x:v>
      </x:c>
      <x:c r="L15" s="15" t="str">
        <x:v>Web propia consultada</x:v>
      </x:c>
      <x:c r="M15" s="15" t="str">
        <x:v>La página consultada presenta cinco habitaciones y contacto directo.</x:v>
      </x:c>
      <x:c r="N15" s="15" t="str">
        <x:v>Página consultada</x:v>
      </x:c>
      <x:c r="O15" s="20" t="n">
        <x:v>46288</x:v>
      </x:c>
      <x:c r="P15" s="22" t="str">
        <x:v>No contactado</x:v>
      </x:c>
      <x:c r="Q15" s="23"/>
      <x:c r="R15" s="23"/>
      <x:c r="S15" s="24" t="str"/>
      <x:c r="T15" s="15" t="str">
        <x:v>GL-044</x:v>
      </x:c>
      <x:c r="U15" s="17"/>
      <x:c r="V15" s="26" t="str">
        <x:v>https://riaddess.com/en/</x:v>
      </x:c>
      <x:c r="W15" s="26" t="str"/>
    </x:row>
    <x:row r="16" ht="64" customHeight="1">
      <x:c r="A16" s="15" t="str">
        <x:v>Alta</x:v>
      </x:c>
      <x:c r="B16" s="15" t="str">
        <x:v>Voon Clothing</x:v>
      </x:c>
      <x:c r="C16" s="15" t="str">
        <x:v>Indumentaria / vestidos de novia</x:v>
      </x:c>
      <x:c r="D16" s="15" t="str">
        <x:v>Nueva Zelanda</x:v>
      </x:c>
      <x:c r="E16" s="18" t="str">
        <x:v>info@voon.co.nz</x:v>
      </x:c>
      <x:c r="F16" s="18" t="str">
        <x:v>+64 4 8018292</x:v>
      </x:c>
      <x:c r="G16" s="25" t="str">
        <x:v>Enviar email</x:v>
      </x:c>
      <x:c r="H16" s="15" t="str">
        <x:v>Wellington</x:v>
      </x:c>
      <x:c r="I16" s="15" t="str">
        <x:v>Oceanía</x:v>
      </x:c>
      <x:c r="J16" s="15" t="str">
        <x:v>Inglés</x:v>
      </x:c>
      <x:c r="K16" s="15" t="str">
        <x:v>Solicitud de prueba por servicio y fecha.</x:v>
      </x:c>
      <x:c r="L16" s="15" t="str">
        <x:v>Web propia consultada</x:v>
      </x:c>
      <x:c r="M16" s="15" t="str">
        <x:v>Los enlaces para pedir una prueba y enviar consultas usan email.</x:v>
      </x:c>
      <x:c r="N16" s="15" t="str">
        <x:v>Página consultada</x:v>
      </x:c>
      <x:c r="O16" s="20" t="n">
        <x:v>46288</x:v>
      </x:c>
      <x:c r="P16" s="22" t="str">
        <x:v>No contactado</x:v>
      </x:c>
      <x:c r="Q16" s="23"/>
      <x:c r="R16" s="23"/>
      <x:c r="S16" s="24" t="str"/>
      <x:c r="T16" s="15" t="str">
        <x:v>GL-066</x:v>
      </x:c>
      <x:c r="U16" s="17"/>
      <x:c r="V16" s="26" t="str">
        <x:v>https://voon.co.nz/</x:v>
      </x:c>
      <x:c r="W16" s="26" t="str"/>
    </x:row>
    <x:row r="17" ht="64" customHeight="1">
      <x:c r="A17" s="15" t="str">
        <x:v>Alta</x:v>
      </x:c>
      <x:c r="B17" s="15" t="str">
        <x:v>TLD Cycles</x:v>
      </x:c>
      <x:c r="C17" s="15" t="str">
        <x:v>Taller de bicicletas</x:v>
      </x:c>
      <x:c r="D17" s="15" t="str">
        <x:v>Reino Unido</x:v>
      </x:c>
      <x:c r="E17" s="18" t="str">
        <x:v>tldcycles@gmail.com</x:v>
      </x:c>
      <x:c r="F17" s="18" t="str">
        <x:v>+44 7500 169385</x:v>
      </x:c>
      <x:c r="G17" s="25" t="str">
        <x:v>Enviar email</x:v>
      </x:c>
      <x:c r="H17" s="15" t="str">
        <x:v>Bristol</x:v>
      </x:c>
      <x:c r="I17" s="15" t="str">
        <x:v>Europa</x:v>
      </x:c>
      <x:c r="J17" s="15" t="str">
        <x:v>Inglés</x:v>
      </x:c>
      <x:c r="K17" s="15" t="str">
        <x:v>Solicitud de reparación con bicicleta, falla y fecha.</x:v>
      </x:c>
      <x:c r="L17" s="15" t="str">
        <x:v>Web propia consultada</x:v>
      </x:c>
      <x:c r="M17" s="15" t="str">
        <x:v>La web indica que no acceden al buzón del fijo; ofrece móvil, WhatsApp y email.</x:v>
      </x:c>
      <x:c r="N17" s="15" t="str">
        <x:v>Página consultada</x:v>
      </x:c>
      <x:c r="O17" s="20" t="n">
        <x:v>46288</x:v>
      </x:c>
      <x:c r="P17" s="22" t="str">
        <x:v>No contactado</x:v>
      </x:c>
      <x:c r="Q17" s="23"/>
      <x:c r="R17" s="23"/>
      <x:c r="S17" s="24" t="str"/>
      <x:c r="T17" s="15" t="str">
        <x:v>GL-041</x:v>
      </x:c>
      <x:c r="U17" s="17"/>
      <x:c r="V17" s="26" t="str">
        <x:v>https://www.tldcycles.co.uk/</x:v>
      </x:c>
      <x:c r="W17" s="26" t="str"/>
    </x:row>
    <x:row r="18" ht="64" customHeight="1">
      <x:c r="A18" s="15" t="str">
        <x:v>Alta</x:v>
      </x:c>
      <x:c r="B18" s="15" t="str">
        <x:v>Nautilus Cooking Class</x:v>
      </x:c>
      <x:c r="C18" s="15" t="str">
        <x:v>Clases de cocina</x:v>
      </x:c>
      <x:c r="D18" s="15" t="str">
        <x:v>Sri Lanka</x:v>
      </x:c>
      <x:c r="E18" s="18" t="str">
        <x:v>nautiluscooking@gmail.com</x:v>
      </x:c>
      <x:c r="F18" s="18" t="str">
        <x:v>+94 77 2449863</x:v>
      </x:c>
      <x:c r="G18" s="25" t="str">
        <x:v>Enviar email</x:v>
      </x:c>
      <x:c r="H18" s="15" t="str">
        <x:v>Unawatuna</x:v>
      </x:c>
      <x:c r="I18" s="15" t="str">
        <x:v>Asia</x:v>
      </x:c>
      <x:c r="J18" s="15" t="str">
        <x:v>Inglés</x:v>
      </x:c>
      <x:c r="K18" s="15" t="str">
        <x:v>Página de experiencia y consulta de fechas y cupos.</x:v>
      </x:c>
      <x:c r="L18" s="15" t="str">
        <x:v>Web propia consultada</x:v>
      </x:c>
      <x:c r="M18" s="15" t="str">
        <x:v>La web describe visita al mercado y clase, con teléfono y correo de contacto.</x:v>
      </x:c>
      <x:c r="N18" s="15" t="str">
        <x:v>Página consultada</x:v>
      </x:c>
      <x:c r="O18" s="20" t="n">
        <x:v>46288</x:v>
      </x:c>
      <x:c r="P18" s="22" t="str">
        <x:v>No contactado</x:v>
      </x:c>
      <x:c r="Q18" s="23"/>
      <x:c r="R18" s="23"/>
      <x:c r="S18" s="24" t="str"/>
      <x:c r="T18" s="15" t="str">
        <x:v>GL-058</x:v>
      </x:c>
      <x:c r="U18" s="17"/>
      <x:c r="V18" s="26" t="str">
        <x:v>https://nautiluscookingclass.com/</x:v>
      </x:c>
      <x:c r="W18" s="26" t="str"/>
    </x:row>
    <x:row r="19" ht="64" customHeight="1">
      <x:c r="A19" s="15" t="str">
        <x:v>Alta</x:v>
      </x:c>
      <x:c r="B19" s="15" t="str">
        <x:v>RoadDogs</x:v>
      </x:c>
      <x:c r="C19" s="15" t="str">
        <x:v>Peluquería canina móvil</x:v>
      </x:c>
      <x:c r="D19" s="15" t="str">
        <x:v>Sudáfrica</x:v>
      </x:c>
      <x:c r="E19" s="18" t="str">
        <x:v>info.roaddogs@gmail.com</x:v>
      </x:c>
      <x:c r="F19" s="18" t="str">
        <x:v>+27 84 2394264</x:v>
      </x:c>
      <x:c r="G19" s="25" t="str">
        <x:v>Enviar email</x:v>
      </x:c>
      <x:c r="H19" s="15" t="str">
        <x:v>Ciudad del Cabo</x:v>
      </x:c>
      <x:c r="I19" s="15" t="str">
        <x:v>África</x:v>
      </x:c>
      <x:c r="J19" s="15" t="str">
        <x:v>Inglés</x:v>
      </x:c>
      <x:c r="K19" s="15" t="str">
        <x:v>Formulario de cotización por zona, mascota y servicio.</x:v>
      </x:c>
      <x:c r="L19" s="15" t="str">
        <x:v>Web propia consultada</x:v>
      </x:c>
      <x:c r="M19" s="15" t="str">
        <x:v>Cotiza según tamaño del perro y servicio; recibe consultas por email, llamada y WhatsApp.</x:v>
      </x:c>
      <x:c r="N19" s="15" t="str">
        <x:v>Página consultada</x:v>
      </x:c>
      <x:c r="O19" s="20" t="n">
        <x:v>46288</x:v>
      </x:c>
      <x:c r="P19" s="22" t="str">
        <x:v>No contactado</x:v>
      </x:c>
      <x:c r="Q19" s="23"/>
      <x:c r="R19" s="23"/>
      <x:c r="S19" s="24" t="str"/>
      <x:c r="T19" s="15" t="str">
        <x:v>GL-045</x:v>
      </x:c>
      <x:c r="U19" s="17"/>
      <x:c r="V19" s="26" t="str">
        <x:v>https://roaddogs.co.za/</x:v>
      </x:c>
      <x:c r="W19" s="26" t="str"/>
    </x:row>
    <x:row r="20" ht="64" customHeight="1">
      <x:c r="A20" s="15" t="str">
        <x:v>Media</x:v>
      </x:c>
      <x:c r="B20" s="15" t="str">
        <x:v>Te De Jazmín Cba</x:v>
      </x:c>
      <x:c r="C20" s="15" t="str">
        <x:v>Tienda / regalos (confirmar)</x:v>
      </x:c>
      <x:c r="D20" s="15" t="str">
        <x:v>Argentina</x:v>
      </x:c>
      <x:c r="E20" s="18" t="str">
        <x:v>tedejazmin.cba@gmail.com</x:v>
      </x:c>
      <x:c r="F20" s="18" t="str">
        <x:v>0351 661-5373</x:v>
      </x:c>
      <x:c r="G20" s="25" t="str">
        <x:v>Enviar email</x:v>
      </x:c>
      <x:c r="H20" s="15" t="str">
        <x:v>Córdoba</x:v>
      </x:c>
      <x:c r="I20" s="15" t="str">
        <x:v>América</x:v>
      </x:c>
      <x:c r="J20" s="15" t="str">
        <x:v>Español</x:v>
      </x:c>
      <x:c r="K20" s="15" t="str">
        <x:v>Corregir y validar el rubro antes de vender.</x:v>
      </x:c>
      <x:c r="L20" s="15" t="str">
        <x:v>Contacto y nombre reconsultados; rubro y web por confirmar.</x:v>
      </x:c>
      <x:c r="M20" s="15" t="str">
        <x:v>El directorio mantiene dirección y email, pero no describe con precisión el rubro. Confirmar oferta actual antes de armar catálogo.</x:v>
      </x:c>
      <x:c r="N20" s="15" t="str">
        <x:v>Índice de directorio</x:v>
      </x:c>
      <x:c r="O20" s="20" t="n">
        <x:v>46288</x:v>
      </x:c>
      <x:c r="P20" s="22" t="str">
        <x:v>No contactado</x:v>
      </x:c>
      <x:c r="Q20" s="23"/>
      <x:c r="R20" s="23"/>
      <x:c r="S20" s="24" t="str"/>
      <x:c r="T20" s="15" t="str">
        <x:v>GL-001</x:v>
      </x:c>
      <x:c r="U20" s="17"/>
      <x:c r="V20" s="26" t="str">
        <x:v>https://ar.todosnegocios.com/te-de-jazm-u-edn-cba-0351-661-5373</x:v>
      </x:c>
      <x:c r="W20" s="26" t="str"/>
    </x:row>
    <x:row r="21" ht="64" customHeight="1">
      <x:c r="A21" s="15" t="str">
        <x:v>Media</x:v>
      </x:c>
      <x:c r="B21" s="15" t="str">
        <x:v>CommandaPro Auto Detailing</x:v>
      </x:c>
      <x:c r="C21" s="15" t="str">
        <x:v>Detailing / revestimiento cerámico</x:v>
      </x:c>
      <x:c r="D21" s="15" t="str">
        <x:v>Australia</x:v>
      </x:c>
      <x:c r="E21" s="18" t="str">
        <x:v>christopher@commandaproautodetailing.com.au</x:v>
      </x:c>
      <x:c r="F21" s="18" t="str">
        <x:v>+61 431 009492</x:v>
      </x:c>
      <x:c r="G21" s="25" t="str">
        <x:v>Enviar email</x:v>
      </x:c>
      <x:c r="H21" s="15" t="str">
        <x:v>Melbourne</x:v>
      </x:c>
      <x:c r="I21" s="15" t="str">
        <x:v>Oceanía</x:v>
      </x:c>
      <x:c r="J21" s="15" t="str">
        <x:v>Inglés</x:v>
      </x:c>
      <x:c r="K21" s="15" t="str">
        <x:v>Revisar captación de consultas de tratamientos premium.</x:v>
      </x:c>
      <x:c r="L21" s="15" t="str">
        <x:v>Web encontrada; apertura limitada</x:v>
      </x:c>
      <x:c r="M21" s="15" t="str">
        <x:v>El contacto indexado dice que atiende el propio detailer y ya tiene reservas online.</x:v>
      </x:c>
      <x:c r="N21" s="15" t="str">
        <x:v>Índice web; apertura limitada</x:v>
      </x:c>
      <x:c r="O21" s="20" t="n">
        <x:v>46288</x:v>
      </x:c>
      <x:c r="P21" s="22" t="str">
        <x:v>No contactado</x:v>
      </x:c>
      <x:c r="Q21" s="23"/>
      <x:c r="R21" s="23"/>
      <x:c r="S21" s="24" t="str"/>
      <x:c r="T21" s="15" t="str">
        <x:v>GL-064</x:v>
      </x:c>
      <x:c r="U21" s="17"/>
      <x:c r="V21" s="26" t="str">
        <x:v>https://commandaproautodetailing.com.au/contact</x:v>
      </x:c>
      <x:c r="W21" s="26" t="str"/>
    </x:row>
    <x:row r="22" ht="64" customHeight="1">
      <x:c r="A22" s="15" t="str">
        <x:v>Media</x:v>
      </x:c>
      <x:c r="B22" s="15" t="str">
        <x:v>Honest Shine</x:v>
      </x:c>
      <x:c r="C22" s="15" t="str">
        <x:v>Estética automotor móvil</x:v>
      </x:c>
      <x:c r="D22" s="15" t="str">
        <x:v>Australia</x:v>
      </x:c>
      <x:c r="E22" s="18" t="str">
        <x:v>hello@honestshine.com.au</x:v>
      </x:c>
      <x:c r="F22" s="18" t="str">
        <x:v>+61 448 842105</x:v>
      </x:c>
      <x:c r="G22" s="25" t="str">
        <x:v>Enviar email</x:v>
      </x:c>
      <x:c r="H22" s="15" t="str">
        <x:v>Melbourne</x:v>
      </x:c>
      <x:c r="I22" s="15" t="str">
        <x:v>Oceanía</x:v>
      </x:c>
      <x:c r="J22" s="15" t="str">
        <x:v>Inglés</x:v>
      </x:c>
      <x:c r="K22" s="15" t="str">
        <x:v>Cotización con suburbio, vehículo y fotos.</x:v>
      </x:c>
      <x:c r="L22" s="15" t="str">
        <x:v>Web encontrada; apertura limitada</x:v>
      </x:c>
      <x:c r="M22" s="15" t="str">
        <x:v>La página indexada pide esos datos por SMS; validar si desean centralizar consultas en un formulario.</x:v>
      </x:c>
      <x:c r="N22" s="15" t="str">
        <x:v>Índice web; apertura limitada</x:v>
      </x:c>
      <x:c r="O22" s="20" t="n">
        <x:v>46288</x:v>
      </x:c>
      <x:c r="P22" s="22" t="str">
        <x:v>No contactado</x:v>
      </x:c>
      <x:c r="Q22" s="23"/>
      <x:c r="R22" s="23"/>
      <x:c r="S22" s="24" t="str"/>
      <x:c r="T22" s="15" t="str">
        <x:v>GL-063</x:v>
      </x:c>
      <x:c r="U22" s="17"/>
      <x:c r="V22" s="26" t="str">
        <x:v>https://honestshine.com.au/contact.html</x:v>
      </x:c>
      <x:c r="W22" s="26" t="str"/>
    </x:row>
    <x:row r="23" ht="64" customHeight="1">
      <x:c r="A23" s="15" t="str">
        <x:v>Media</x:v>
      </x:c>
      <x:c r="B23" s="15" t="str">
        <x:v>MundoFitness</x:v>
      </x:c>
      <x:c r="C23" s="15" t="str">
        <x:v>Entrenamiento deportivo</x:v>
      </x:c>
      <x:c r="D23" s="15" t="str">
        <x:v>Chile</x:v>
      </x:c>
      <x:c r="E23" s="18" t="str">
        <x:v>contactomundofitness@gmail.com</x:v>
      </x:c>
      <x:c r="F23" s="18" t="str">
        <x:v>+56 9 4562 8807</x:v>
      </x:c>
      <x:c r="G23" s="25" t="str">
        <x:v>Enviar email</x:v>
      </x:c>
      <x:c r="H23" s="15" t="str">
        <x:v>Santiago</x:v>
      </x:c>
      <x:c r="I23" s="15" t="str">
        <x:v>América</x:v>
      </x:c>
      <x:c r="J23" s="15" t="str">
        <x:v>Español</x:v>
      </x:c>
      <x:c r="K23" s="15" t="str">
        <x:v>Página de clases y consultas para nuevas inscripciones.</x:v>
      </x:c>
      <x:c r="L23" s="15" t="str">
        <x:v>Directorio con Facebook; web propia por confirmar.</x:v>
      </x:c>
      <x:c r="M23" s="15" t="str">
        <x:v>El perfil de Santiago publica entrenamiento, dirección en Alameda 494, teléfono y correo. Confirmar clases y cupos vigentes.</x:v>
      </x:c>
      <x:c r="N23" s="15" t="str">
        <x:v>Índice de directorio</x:v>
      </x:c>
      <x:c r="O23" s="20" t="n">
        <x:v>46288</x:v>
      </x:c>
      <x:c r="P23" s="22" t="str">
        <x:v>No contactado</x:v>
      </x:c>
      <x:c r="Q23" s="23"/>
      <x:c r="R23" s="23"/>
      <x:c r="S23" s="24" t="str"/>
      <x:c r="T23" s="15" t="str">
        <x:v>GL-008</x:v>
      </x:c>
      <x:c r="U23" s="17"/>
      <x:c r="V23" s="26" t="str">
        <x:v>https://www.infostgo.cl/id/2995-mundofitness</x:v>
      </x:c>
      <x:c r="W23" s="26" t="str">
        <x:v>https://cl.todosnegocios.com/mundofitness-9-4562-8807</x:v>
      </x:c>
    </x:row>
    <x:row r="24" ht="64" customHeight="1">
      <x:c r="A24" s="15" t="str">
        <x:v>Media</x:v>
      </x:c>
      <x:c r="B24" s="15" t="str">
        <x:v>Hago Ballenas</x:v>
      </x:c>
      <x:c r="C24" s="15" t="str">
        <x:v>Cerámica / talleres</x:v>
      </x:c>
      <x:c r="D24" s="15" t="str">
        <x:v>España</x:v>
      </x:c>
      <x:c r="E24" s="18" t="str">
        <x:v>hagoballenas@gmail.com</x:v>
      </x:c>
      <x:c r="F24" s="18" t="str">
        <x:v>+34 641 231 130</x:v>
      </x:c>
      <x:c r="G24" s="25" t="str">
        <x:v>Enviar email</x:v>
      </x:c>
      <x:c r="H24" s="15" t="str">
        <x:v>Madrid</x:v>
      </x:c>
      <x:c r="I24" s="15" t="str">
        <x:v>Europa</x:v>
      </x:c>
      <x:c r="J24" s="15" t="str">
        <x:v>Español</x:v>
      </x:c>
      <x:c r="K24" s="15" t="str">
        <x:v>Inscripción por taller, fecha y número de asistentes.</x:v>
      </x:c>
      <x:c r="L24" s="15" t="str">
        <x:v>Web propia consultada</x:v>
      </x:c>
      <x:c r="M24" s="15" t="str">
        <x:v>Publica talleres, dirección y formulario general de contacto.</x:v>
      </x:c>
      <x:c r="N24" s="15" t="str">
        <x:v>Página consultada</x:v>
      </x:c>
      <x:c r="O24" s="20" t="n">
        <x:v>46288</x:v>
      </x:c>
      <x:c r="P24" s="22" t="str">
        <x:v>No contactado</x:v>
      </x:c>
      <x:c r="Q24" s="23"/>
      <x:c r="R24" s="23"/>
      <x:c r="S24" s="24" t="str"/>
      <x:c r="T24" s="15" t="str">
        <x:v>GL-034</x:v>
      </x:c>
      <x:c r="U24" s="17"/>
      <x:c r="V24" s="26" t="str">
        <x:v>https://www.hagoballenas.es/contacto/</x:v>
      </x:c>
      <x:c r="W24" s="26" t="str"/>
    </x:row>
    <x:row r="25" ht="64" customHeight="1">
      <x:c r="A25" s="15" t="str">
        <x:v>Media</x:v>
      </x:c>
      <x:c r="B25" s="15" t="str">
        <x:v>Purple Turtle Fiji</x:v>
      </x:c>
      <x:c r="C25" s="15" t="str">
        <x:v>Centro de buceo</x:v>
      </x:c>
      <x:c r="D25" s="15" t="str">
        <x:v>Fiyi</x:v>
      </x:c>
      <x:c r="E25" s="18" t="str">
        <x:v>denaraudiving@purpleturtlefiji.com</x:v>
      </x:c>
      <x:c r="F25" s="18" t="str">
        <x:v>+679 7729463</x:v>
      </x:c>
      <x:c r="G25" s="25" t="str">
        <x:v>Enviar email</x:v>
      </x:c>
      <x:c r="H25" s="15" t="str">
        <x:v>Denarau, Nadi</x:v>
      </x:c>
      <x:c r="I25" s="15" t="str">
        <x:v>Oceanía</x:v>
      </x:c>
      <x:c r="J25" s="15" t="str">
        <x:v>Inglés</x:v>
      </x:c>
      <x:c r="K25" s="15" t="str">
        <x:v>Página de cursos y consulta de salidas para visitantes.</x:v>
      </x:c>
      <x:c r="L25" s="15" t="str">
        <x:v>Web propia pendiente de revisar</x:v>
      </x:c>
      <x:c r="M25" s="15" t="str">
        <x:v>La asociación hotelera lo presenta como centro operado por su dueño. Revisar su web antes de cotizar.</x:v>
      </x:c>
      <x:c r="N25" s="15" t="str">
        <x:v>Página consultada</x:v>
      </x:c>
      <x:c r="O25" s="20" t="n">
        <x:v>46288</x:v>
      </x:c>
      <x:c r="P25" s="22" t="str">
        <x:v>No contactado</x:v>
      </x:c>
      <x:c r="Q25" s="23"/>
      <x:c r="R25" s="23"/>
      <x:c r="S25" s="24" t="str"/>
      <x:c r="T25" s="15" t="str">
        <x:v>GL-068</x:v>
      </x:c>
      <x:c r="U25" s="17"/>
      <x:c r="V25" s="26" t="str">
        <x:v>https://fhta.com.fj/business/purple-turtle-fiji/</x:v>
      </x:c>
      <x:c r="W25" s="26" t="str"/>
    </x:row>
    <x:row r="26" ht="64" customHeight="1">
      <x:c r="A26" s="15" t="str">
        <x:v>Media</x:v>
      </x:c>
      <x:c r="B26" s="15" t="str">
        <x:v>Subsurface Fiji</x:v>
      </x:c>
      <x:c r="C26" s="15" t="str">
        <x:v>Centro de buceo</x:v>
      </x:c>
      <x:c r="D26" s="15" t="str">
        <x:v>Fiyi</x:v>
      </x:c>
      <x:c r="E26" s="18" t="str">
        <x:v>info@subsurfacefiji.com</x:v>
      </x:c>
      <x:c r="F26" s="18" t="str">
        <x:v>+679 9996371</x:v>
      </x:c>
      <x:c r="G26" s="25" t="str">
        <x:v>Enviar email</x:v>
      </x:c>
      <x:c r="H26" s="15" t="str">
        <x:v>Malolo Lailai</x:v>
      </x:c>
      <x:c r="I26" s="15" t="str">
        <x:v>Oceanía</x:v>
      </x:c>
      <x:c r="J26" s="15" t="str">
        <x:v>Inglés</x:v>
      </x:c>
      <x:c r="K26" s="15" t="str">
        <x:v>Revisar consultas por fecha, experiencia y curso.</x:v>
      </x:c>
      <x:c r="L26" s="15" t="str">
        <x:v>Web propia consultada</x:v>
      </x:c>
      <x:c r="M26" s="15" t="str">
        <x:v>La página distingue reservas dentro de 48 horas por WhatsApp; ya tiene formulario.</x:v>
      </x:c>
      <x:c r="N26" s="15" t="str">
        <x:v>Página consultada</x:v>
      </x:c>
      <x:c r="O26" s="20" t="n">
        <x:v>46288</x:v>
      </x:c>
      <x:c r="P26" s="22" t="str">
        <x:v>No contactado</x:v>
      </x:c>
      <x:c r="Q26" s="23"/>
      <x:c r="R26" s="23"/>
      <x:c r="S26" s="24" t="str"/>
      <x:c r="T26" s="15" t="str">
        <x:v>GL-067</x:v>
      </x:c>
      <x:c r="U26" s="17"/>
      <x:c r="V26" s="26" t="str">
        <x:v>https://fijidiving.com/contact-us/</x:v>
      </x:c>
      <x:c r="W26" s="26" t="str"/>
    </x:row>
    <x:row r="27" ht="64" customHeight="1">
      <x:c r="A27" s="15" t="str">
        <x:v>Media</x:v>
      </x:c>
      <x:c r="B27" s="15" t="str">
        <x:v>Menthe Sauvage</x:v>
      </x:c>
      <x:c r="C27" s="15" t="str">
        <x:v>Diseño floral / bodas</x:v>
      </x:c>
      <x:c r="D27" s="15" t="str">
        <x:v>Francia</x:v>
      </x:c>
      <x:c r="E27" s="18" t="str">
        <x:v>contact@menthesauvage.fr</x:v>
      </x:c>
      <x:c r="F27" s="18" t="str">
        <x:v>+33 6 64 93 33 73</x:v>
      </x:c>
      <x:c r="G27" s="25" t="str">
        <x:v>Enviar email</x:v>
      </x:c>
      <x:c r="H27" s="15" t="str">
        <x:v>Lyon / Rhône-Alpes</x:v>
      </x:c>
      <x:c r="I27" s="15" t="str">
        <x:v>Europa</x:v>
      </x:c>
      <x:c r="J27" s="15" t="str">
        <x:v>Francés o inglés</x:v>
      </x:c>
      <x:c r="K27" s="15" t="str">
        <x:v>Página de proyectos y consulta por fecha, lugar y presupuesto.</x:v>
      </x:c>
      <x:c r="L27" s="15" t="str">
        <x:v>Web propia consultada</x:v>
      </x:c>
      <x:c r="M27" s="15" t="str">
        <x:v>Ofrece diseño floral para bodas y atiende también en inglés.</x:v>
      </x:c>
      <x:c r="N27" s="15" t="str">
        <x:v>Página consultada</x:v>
      </x:c>
      <x:c r="O27" s="20" t="n">
        <x:v>46288</x:v>
      </x:c>
      <x:c r="P27" s="22" t="str">
        <x:v>No contactado</x:v>
      </x:c>
      <x:c r="Q27" s="23"/>
      <x:c r="R27" s="23"/>
      <x:c r="S27" s="24" t="str"/>
      <x:c r="T27" s="15" t="str">
        <x:v>GL-036</x:v>
      </x:c>
      <x:c r="U27" s="17"/>
      <x:c r="V27" s="26" t="str">
        <x:v>https://menthesauvage.fr/contact</x:v>
      </x:c>
      <x:c r="W27" s="26" t="str"/>
    </x:row>
    <x:row r="28" ht="64" customHeight="1">
      <x:c r="A28" s="15" t="str">
        <x:v>Media</x:v>
      </x:c>
      <x:c r="B28" s="15" t="str">
        <x:v>Virginie P Fleuriste</x:v>
      </x:c>
      <x:c r="C28" s="15" t="str">
        <x:v>Florería / talleres</x:v>
      </x:c>
      <x:c r="D28" s="15" t="str">
        <x:v>Francia</x:v>
      </x:c>
      <x:c r="E28" s="18" t="str">
        <x:v>virginiepondarrepro@gmail.com</x:v>
      </x:c>
      <x:c r="F28" s="18" t="str">
        <x:v>+33 9 53 94 73 92</x:v>
      </x:c>
      <x:c r="G28" s="25" t="str">
        <x:v>Enviar email</x:v>
      </x:c>
      <x:c r="H28" s="15" t="str">
        <x:v>Lyon</x:v>
      </x:c>
      <x:c r="I28" s="15" t="str">
        <x:v>Europa</x:v>
      </x:c>
      <x:c r="J28" s="15" t="str">
        <x:v>Francés</x:v>
      </x:c>
      <x:c r="K28" s="15" t="str">
        <x:v>Revisar contacto e inscripción de talleres privados.</x:v>
      </x:c>
      <x:c r="L28" s="15" t="str">
        <x:v>Web propia consultada</x:v>
      </x:c>
      <x:c r="M28" s="15" t="str">
        <x:v>Presenta talleres de 1 h 30 y email público; comprobar el destino del enlace de correo antes de proponer un arreglo.</x:v>
      </x:c>
      <x:c r="N28" s="15" t="str">
        <x:v>Página consultada</x:v>
      </x:c>
      <x:c r="O28" s="20" t="n">
        <x:v>46288</x:v>
      </x:c>
      <x:c r="P28" s="22" t="str">
        <x:v>No contactado</x:v>
      </x:c>
      <x:c r="Q28" s="23"/>
      <x:c r="R28" s="23"/>
      <x:c r="S28" s="24" t="str"/>
      <x:c r="T28" s="15" t="str">
        <x:v>GL-035</x:v>
      </x:c>
      <x:c r="U28" s="17"/>
      <x:c r="V28" s="26" t="str">
        <x:v>https://www.virginiepfleuriste.fr/ateliers-floraux-prives/</x:v>
      </x:c>
      <x:c r="W28" s="26" t="str"/>
    </x:row>
    <x:row r="29" ht="64" customHeight="1">
      <x:c r="A29" s="15" t="str">
        <x:v>Media</x:v>
      </x:c>
      <x:c r="B29" s="15" t="str">
        <x:v>Dansah Made It</x:v>
      </x:c>
      <x:c r="C29" s="15" t="str">
        <x:v>Muebles a medida</x:v>
      </x:c>
      <x:c r="D29" s="15" t="str">
        <x:v>Ghana</x:v>
      </x:c>
      <x:c r="E29" s="18" t="str">
        <x:v>contact@dansahmadeit.com</x:v>
      </x:c>
      <x:c r="F29" s="18" t="str">
        <x:v>+233 500 722175</x:v>
      </x:c>
      <x:c r="G29" s="25" t="str">
        <x:v>Enviar email</x:v>
      </x:c>
      <x:c r="H29" s="15" t="str">
        <x:v>Accra</x:v>
      </x:c>
      <x:c r="I29" s="15" t="str">
        <x:v>África</x:v>
      </x:c>
      <x:c r="J29" s="15" t="str">
        <x:v>Inglés</x:v>
      </x:c>
      <x:c r="K29" s="15" t="str">
        <x:v>Ofrecer apoyo puntual para lanzar la tienda anunciada.</x:v>
      </x:c>
      <x:c r="L29" s="15" t="str">
        <x:v>Web propia consultada</x:v>
      </x:c>
      <x:c r="M29" s="15" t="str">
        <x:v>La web anuncia una tienda próxima a abrir y ya tiene cotizador. Puede tener proveedor contratado.</x:v>
      </x:c>
      <x:c r="N29" s="15" t="str">
        <x:v>Página consultada</x:v>
      </x:c>
      <x:c r="O29" s="20" t="n">
        <x:v>46288</x:v>
      </x:c>
      <x:c r="P29" s="22" t="str">
        <x:v>No contactado</x:v>
      </x:c>
      <x:c r="Q29" s="23"/>
      <x:c r="R29" s="23"/>
      <x:c r="S29" s="24" t="str"/>
      <x:c r="T29" s="15" t="str">
        <x:v>GL-049</x:v>
      </x:c>
      <x:c r="U29" s="17"/>
      <x:c r="V29" s="26" t="str">
        <x:v>https://dansahmadeit.com/</x:v>
      </x:c>
      <x:c r="W29" s="26" t="str"/>
    </x:row>
    <x:row r="30" ht="64" customHeight="1">
      <x:c r="A30" s="15" t="str">
        <x:v>Media</x:v>
      </x:c>
      <x:c r="B30" s="15" t="str">
        <x:v>Block Print Company</x:v>
      </x:c>
      <x:c r="C30" s="15" t="str">
        <x:v>Textiles / decoración</x:v>
      </x:c>
      <x:c r="D30" s="15" t="str">
        <x:v>India</x:v>
      </x:c>
      <x:c r="E30" s="18" t="str">
        <x:v>info@blockprintcompany.com</x:v>
      </x:c>
      <x:c r="F30" s="18" t="str">
        <x:v>+91 8003050264</x:v>
      </x:c>
      <x:c r="G30" s="25" t="str">
        <x:v>Enviar email</x:v>
      </x:c>
      <x:c r="H30" s="15" t="str">
        <x:v>Jaipur</x:v>
      </x:c>
      <x:c r="I30" s="15" t="str">
        <x:v>Asia</x:v>
      </x:c>
      <x:c r="J30" s="15" t="str">
        <x:v>Inglés</x:v>
      </x:c>
      <x:c r="K30" s="15" t="str">
        <x:v>Catálogo mayorista con consulta por producto y cantidad.</x:v>
      </x:c>
      <x:c r="L30" s="15" t="str">
        <x:v>Web propia consultada</x:v>
      </x:c>
      <x:c r="M30" s="15" t="str">
        <x:v>Publica textiles estampados y productos de decoración con contacto de su taller.</x:v>
      </x:c>
      <x:c r="N30" s="15" t="str">
        <x:v>Página consultada</x:v>
      </x:c>
      <x:c r="O30" s="20" t="n">
        <x:v>46288</x:v>
      </x:c>
      <x:c r="P30" s="22" t="str">
        <x:v>No contactado</x:v>
      </x:c>
      <x:c r="Q30" s="23"/>
      <x:c r="R30" s="23"/>
      <x:c r="S30" s="24" t="str"/>
      <x:c r="T30" s="15" t="str">
        <x:v>GL-053</x:v>
      </x:c>
      <x:c r="U30" s="17"/>
      <x:c r="V30" s="26" t="str">
        <x:v>https://blockprintcompany.com/index.php/contact</x:v>
      </x:c>
      <x:c r="W30" s="26" t="str"/>
    </x:row>
    <x:row r="31" ht="64" customHeight="1">
      <x:c r="A31" s="15" t="str">
        <x:v>Media</x:v>
      </x:c>
      <x:c r="B31" s="15" t="str">
        <x:v>27 Surf School Bali</x:v>
      </x:c>
      <x:c r="C31" s="15" t="str">
        <x:v>Escuela de surf</x:v>
      </x:c>
      <x:c r="D31" s="15" t="str">
        <x:v>Indonesia</x:v>
      </x:c>
      <x:c r="E31" s="18" t="str">
        <x:v>surfinginkuta@gmail.com</x:v>
      </x:c>
      <x:c r="F31" s="18" t="str">
        <x:v>+62 812 39802650</x:v>
      </x:c>
      <x:c r="G31" s="25" t="str">
        <x:v>Enviar email</x:v>
      </x:c>
      <x:c r="H31" s="15" t="str">
        <x:v>Kuta, Bali</x:v>
      </x:c>
      <x:c r="I31" s="15" t="str">
        <x:v>Asia</x:v>
      </x:c>
      <x:c r="J31" s="15" t="str">
        <x:v>Inglés</x:v>
      </x:c>
      <x:c r="K31" s="15" t="str">
        <x:v>Consulta de clases por nivel, grupo y día de la visita.</x:v>
      </x:c>
      <x:c r="L31" s="15" t="str">
        <x:v>Web propia consultada</x:v>
      </x:c>
      <x:c r="M31" s="15" t="str">
        <x:v>Ofrece clases para distintos niveles y publica email y WhatsApp.</x:v>
      </x:c>
      <x:c r="N31" s="15" t="str">
        <x:v>Página consultada</x:v>
      </x:c>
      <x:c r="O31" s="20" t="n">
        <x:v>46288</x:v>
      </x:c>
      <x:c r="P31" s="22" t="str">
        <x:v>No contactado</x:v>
      </x:c>
      <x:c r="Q31" s="23"/>
      <x:c r="R31" s="23"/>
      <x:c r="S31" s="24" t="str"/>
      <x:c r="T31" s="15" t="str">
        <x:v>GL-062</x:v>
      </x:c>
      <x:c r="U31" s="17"/>
      <x:c r="V31" s="26" t="str">
        <x:v>https://27surfbali.com/</x:v>
      </x:c>
      <x:c r="W31" s="26" t="str"/>
    </x:row>
    <x:row r="32" ht="64" customHeight="1">
      <x:c r="A32" s="15" t="str">
        <x:v>Media</x:v>
      </x:c>
      <x:c r="B32" s="15" t="str">
        <x:v>Alfredo Cooking Class</x:v>
      </x:c>
      <x:c r="C32" s="15" t="str">
        <x:v>Escuela de cocina</x:v>
      </x:c>
      <x:c r="D32" s="15" t="str">
        <x:v>Italia</x:v>
      </x:c>
      <x:c r="E32" s="18" t="str">
        <x:v>alfredocookingclass@gmail.com</x:v>
      </x:c>
      <x:c r="F32" s="18" t="str">
        <x:v>+39 377 3646252</x:v>
      </x:c>
      <x:c r="G32" s="25" t="str">
        <x:v>Enviar email</x:v>
      </x:c>
      <x:c r="H32" s="15" t="str">
        <x:v>Florencia</x:v>
      </x:c>
      <x:c r="I32" s="15" t="str">
        <x:v>Europa</x:v>
      </x:c>
      <x:c r="J32" s="15" t="str">
        <x:v>Italiano o inglés</x:v>
      </x:c>
      <x:c r="K32" s="15" t="str">
        <x:v>Página para grupos privados y consultas de eventos.</x:v>
      </x:c>
      <x:c r="L32" s="15" t="str">
        <x:v>Web propia consultada</x:v>
      </x:c>
      <x:c r="M32" s="15" t="str">
        <x:v>La escuela ofrece experiencias culinarias para parejas, familias y grupos.</x:v>
      </x:c>
      <x:c r="N32" s="15" t="str">
        <x:v>Página consultada</x:v>
      </x:c>
      <x:c r="O32" s="20" t="n">
        <x:v>46288</x:v>
      </x:c>
      <x:c r="P32" s="22" t="str">
        <x:v>No contactado</x:v>
      </x:c>
      <x:c r="Q32" s="23"/>
      <x:c r="R32" s="23"/>
      <x:c r="S32" s="24" t="str"/>
      <x:c r="T32" s="15" t="str">
        <x:v>GL-037</x:v>
      </x:c>
      <x:c r="U32" s="17"/>
      <x:c r="V32" s="26" t="str">
        <x:v>https://www.alfredocookingclass.com/en/school</x:v>
      </x:c>
      <x:c r="W32" s="26" t="str"/>
    </x:row>
    <x:row r="33" ht="64" customHeight="1">
      <x:c r="A33" s="15" t="str">
        <x:v>Media</x:v>
      </x:c>
      <x:c r="B33" s="15" t="str">
        <x:v>DESINARE</x:v>
      </x:c>
      <x:c r="C33" s="15" t="str">
        <x:v>Cocina / catering</x:v>
      </x:c>
      <x:c r="D33" s="15" t="str">
        <x:v>Italia</x:v>
      </x:c>
      <x:c r="E33" s="18" t="str">
        <x:v>info@desinare.it</x:v>
      </x:c>
      <x:c r="F33" s="18" t="str">
        <x:v>+39 055 221118</x:v>
      </x:c>
      <x:c r="G33" s="25" t="str">
        <x:v>Enviar email</x:v>
      </x:c>
      <x:c r="H33" s="15" t="str">
        <x:v>Florencia</x:v>
      </x:c>
      <x:c r="I33" s="15" t="str">
        <x:v>Europa</x:v>
      </x:c>
      <x:c r="J33" s="15" t="str">
        <x:v>Italiano o inglés</x:v>
      </x:c>
      <x:c r="K33" s="15" t="str">
        <x:v>Separar solicitudes de cursos y presupuestos de catering.</x:v>
      </x:c>
      <x:c r="L33" s="15" t="str">
        <x:v>Web encontrada; apertura limitada</x:v>
      </x:c>
      <x:c r="M33" s="15" t="str">
        <x:v>La página indexada publica correos distintos para cursos y eventos; confirmar quién gestiona la web.</x:v>
      </x:c>
      <x:c r="N33" s="15" t="str">
        <x:v>Índice web; apertura limitada</x:v>
      </x:c>
      <x:c r="O33" s="20" t="n">
        <x:v>46288</x:v>
      </x:c>
      <x:c r="P33" s="22" t="str">
        <x:v>No contactado</x:v>
      </x:c>
      <x:c r="Q33" s="23"/>
      <x:c r="R33" s="23"/>
      <x:c r="S33" s="24" t="str"/>
      <x:c r="T33" s="15" t="str">
        <x:v>GL-038</x:v>
      </x:c>
      <x:c r="U33" s="17"/>
      <x:c r="V33" s="26" t="str">
        <x:v>https://www.desinare.it/en/contact-us</x:v>
      </x:c>
      <x:c r="W33" s="26" t="str"/>
    </x:row>
    <x:row r="34" ht="64" customHeight="1">
      <x:c r="A34" s="15" t="str">
        <x:v>Media</x:v>
      </x:c>
      <x:c r="B34" s="15" t="str">
        <x:v>Cakeaholic Bakers</x:v>
      </x:c>
      <x:c r="C34" s="15" t="str">
        <x:v>Pastelería personalizada</x:v>
      </x:c>
      <x:c r="D34" s="15" t="str">
        <x:v>Kenia</x:v>
      </x:c>
      <x:c r="E34" s="18" t="str">
        <x:v>hello@cakeaholic.co.ke</x:v>
      </x:c>
      <x:c r="F34" s="18" t="str">
        <x:v>+254 725 751458</x:v>
      </x:c>
      <x:c r="G34" s="25" t="str">
        <x:v>Enviar email</x:v>
      </x:c>
      <x:c r="H34" s="15" t="str">
        <x:v>Nairobi</x:v>
      </x:c>
      <x:c r="I34" s="15" t="str">
        <x:v>África</x:v>
      </x:c>
      <x:c r="J34" s="15" t="str">
        <x:v>Inglés</x:v>
      </x:c>
      <x:c r="K34" s="15" t="str">
        <x:v>Revisar consulta de tortas por evento y antelación.</x:v>
      </x:c>
      <x:c r="L34" s="15" t="str">
        <x:v>Web encontrada; apertura limitada</x:v>
      </x:c>
      <x:c r="M34" s="15" t="str">
        <x:v>La página indexada ya muestra catálogo, formulario y WhatsApp. Validar una necesidad antes de cotizar.</x:v>
      </x:c>
      <x:c r="N34" s="15" t="str">
        <x:v>Índice web; apertura limitada</x:v>
      </x:c>
      <x:c r="O34" s="20" t="n">
        <x:v>46288</x:v>
      </x:c>
      <x:c r="P34" s="22" t="str">
        <x:v>No contactado</x:v>
      </x:c>
      <x:c r="Q34" s="23"/>
      <x:c r="R34" s="23"/>
      <x:c r="S34" s="24" t="str"/>
      <x:c r="T34" s="15" t="str">
        <x:v>GL-048</x:v>
      </x:c>
      <x:c r="U34" s="17"/>
      <x:c r="V34" s="26" t="str">
        <x:v>https://www.cakeaholic.co.ke/contact</x:v>
      </x:c>
      <x:c r="W34" s="26" t="str"/>
    </x:row>
    <x:row r="35" ht="64" customHeight="1">
      <x:c r="A35" s="15" t="str">
        <x:v>Media</x:v>
      </x:c>
      <x:c r="B35" s="15" t="str">
        <x:v>Happy Cakes Bakery</x:v>
      </x:c>
      <x:c r="C35" s="15" t="str">
        <x:v>Pastelería personalizada</x:v>
      </x:c>
      <x:c r="D35" s="15" t="str">
        <x:v>Kenia</x:v>
      </x:c>
      <x:c r="E35" s="18" t="str">
        <x:v>orders@happycakesbakery.co.ke</x:v>
      </x:c>
      <x:c r="F35" s="18" t="str">
        <x:v>+254 793 544431</x:v>
      </x:c>
      <x:c r="G35" s="25" t="str">
        <x:v>Enviar email</x:v>
      </x:c>
      <x:c r="H35" s="15" t="str">
        <x:v>Nairobi</x:v>
      </x:c>
      <x:c r="I35" s="15" t="str">
        <x:v>África</x:v>
      </x:c>
      <x:c r="J35" s="15" t="str">
        <x:v>Inglés</x:v>
      </x:c>
      <x:c r="K35" s="15" t="str">
        <x:v>Revisar pedidos especiales por fecha, porciones y diseño.</x:v>
      </x:c>
      <x:c r="L35" s="15" t="str">
        <x:v>Web encontrada; apertura limitada</x:v>
      </x:c>
      <x:c r="M35" s="15" t="str">
        <x:v>La tienda indexada ofrece tortas personalizadas y pedidos por WhatsApp; apertura directa limitada.</x:v>
      </x:c>
      <x:c r="N35" s="15" t="str">
        <x:v>Índice web; apertura limitada</x:v>
      </x:c>
      <x:c r="O35" s="20" t="n">
        <x:v>46288</x:v>
      </x:c>
      <x:c r="P35" s="22" t="str">
        <x:v>No contactado</x:v>
      </x:c>
      <x:c r="Q35" s="23"/>
      <x:c r="R35" s="23"/>
      <x:c r="S35" s="24" t="str"/>
      <x:c r="T35" s="15" t="str">
        <x:v>GL-047</x:v>
      </x:c>
      <x:c r="U35" s="17"/>
      <x:c r="V35" s="26" t="str">
        <x:v>https://happycakesbakery.co.ke/shop/</x:v>
      </x:c>
      <x:c r="W35" s="26" t="str"/>
    </x:row>
    <x:row r="36" ht="64" customHeight="1">
      <x:c r="A36" s="15" t="str">
        <x:v>Media</x:v>
      </x:c>
      <x:c r="B36" s="15" t="str">
        <x:v>Ryad Marrakech</x:v>
      </x:c>
      <x:c r="C36" s="15" t="str">
        <x:v>Alojamiento / riad</x:v>
      </x:c>
      <x:c r="D36" s="15" t="str">
        <x:v>Marruecos</x:v>
      </x:c>
      <x:c r="E36" s="18" t="str">
        <x:v>contact@ryad-marrakech.com</x:v>
      </x:c>
      <x:c r="F36" s="18" t="str">
        <x:v>+212 661 300834</x:v>
      </x:c>
      <x:c r="G36" s="25" t="str">
        <x:v>Enviar email</x:v>
      </x:c>
      <x:c r="H36" s="15" t="str">
        <x:v>Marrakech</x:v>
      </x:c>
      <x:c r="I36" s="15" t="str">
        <x:v>África</x:v>
      </x:c>
      <x:c r="J36" s="15" t="str">
        <x:v>Francés o inglés</x:v>
      </x:c>
      <x:c r="K36" s="15" t="str">
        <x:v>Revisar recorrido de consulta y reservas por idioma.</x:v>
      </x:c>
      <x:c r="L36" s="15" t="str">
        <x:v>Web propia consultada</x:v>
      </x:c>
      <x:c r="M36" s="15" t="str">
        <x:v>Publica alojamiento con piscina, servicios y contacto de reservas.</x:v>
      </x:c>
      <x:c r="N36" s="15" t="str">
        <x:v>Página consultada</x:v>
      </x:c>
      <x:c r="O36" s="20" t="n">
        <x:v>46288</x:v>
      </x:c>
      <x:c r="P36" s="22" t="str">
        <x:v>No contactado</x:v>
      </x:c>
      <x:c r="Q36" s="23"/>
      <x:c r="R36" s="23"/>
      <x:c r="S36" s="24" t="str"/>
      <x:c r="T36" s="15" t="str">
        <x:v>GL-043</x:v>
      </x:c>
      <x:c r="U36" s="17"/>
      <x:c r="V36" s="26" t="str">
        <x:v>https://www.ryad-marrakech.com/en/contact-us/</x:v>
      </x:c>
      <x:c r="W36" s="26" t="str"/>
    </x:row>
    <x:row r="37" ht="64" customHeight="1">
      <x:c r="A37" s="15" t="str">
        <x:v>Media</x:v>
      </x:c>
      <x:c r="B37" s="15" t="str">
        <x:v>Cell y PC</x:v>
      </x:c>
      <x:c r="C37" s="15" t="str">
        <x:v>Reparación de celulares y PC</x:v>
      </x:c>
      <x:c r="D37" s="15" t="str">
        <x:v>México</x:v>
      </x:c>
      <x:c r="E37" s="18" t="str">
        <x:v>contacto@cellypc.com</x:v>
      </x:c>
      <x:c r="F37" s="18" t="str">
        <x:v>+52 33 15252819</x:v>
      </x:c>
      <x:c r="G37" s="25" t="str">
        <x:v>Enviar email</x:v>
      </x:c>
      <x:c r="H37" s="15" t="str">
        <x:v>Guadalajara</x:v>
      </x:c>
      <x:c r="I37" s="15" t="str">
        <x:v>América</x:v>
      </x:c>
      <x:c r="J37" s="15" t="str">
        <x:v>Español</x:v>
      </x:c>
      <x:c r="K37" s="15" t="str">
        <x:v>Ordenar consultas de reparación por equipo y falla.</x:v>
      </x:c>
      <x:c r="L37" s="15" t="str">
        <x:v>Dominio del correo pendiente; enlace WhatsApp incompleto.</x:v>
      </x:c>
      <x:c r="M37" s="15" t="str">
        <x:v>La ficha enlaza api.whatsapp.com/send sin destino visible en la apertura. Usar email y pedir su web actual; no afirmar que carece de sitio.</x:v>
      </x:c>
      <x:c r="N37" s="15" t="str">
        <x:v>Directorio consultado</x:v>
      </x:c>
      <x:c r="O37" s="20" t="n">
        <x:v>46288</x:v>
      </x:c>
      <x:c r="P37" s="22" t="str">
        <x:v>No contactado</x:v>
      </x:c>
      <x:c r="Q37" s="23"/>
      <x:c r="R37" s="23"/>
      <x:c r="S37" s="24" t="str"/>
      <x:c r="T37" s="15" t="str">
        <x:v>GL-018</x:v>
      </x:c>
      <x:c r="U37" s="17"/>
      <x:c r="V37" s="26" t="str">
        <x:v>https://www.allbiz.mx/cell-y-pc_1K-33-1525-2819</x:v>
      </x:c>
      <x:c r="W37" s="26" t="str"/>
    </x:row>
    <x:row r="38" ht="64" customHeight="1">
      <x:c r="A38" s="15" t="str">
        <x:v>Media</x:v>
      </x:c>
      <x:c r="B38" s="15" t="str">
        <x:v>Costuras Citrus</x:v>
      </x:c>
      <x:c r="C38" s="15" t="str">
        <x:v>Uniformes / arreglos</x:v>
      </x:c>
      <x:c r="D38" s="15" t="str">
        <x:v>México</x:v>
      </x:c>
      <x:c r="E38" s="18" t="str">
        <x:v>facturacion.citrus@hotmail.com</x:v>
      </x:c>
      <x:c r="F38" s="18" t="str">
        <x:v>+52 33 15375347</x:v>
      </x:c>
      <x:c r="G38" s="25" t="str">
        <x:v>Enviar email</x:v>
      </x:c>
      <x:c r="H38" s="15" t="str">
        <x:v>Guadalajara</x:v>
      </x:c>
      <x:c r="I38" s="15" t="str">
        <x:v>América</x:v>
      </x:c>
      <x:c r="J38" s="15" t="str">
        <x:v>Español</x:v>
      </x:c>
      <x:c r="K38" s="15" t="str">
        <x:v>Catálogo para cotizar uniformes por cantidad.</x:v>
      </x:c>
      <x:c r="L38" s="15" t="str">
        <x:v>Uniformes y Facebook publicados; web por confirmar.</x:v>
      </x:c>
      <x:c r="M38" s="15" t="str">
        <x:v>La ficha describe uniformes, mandiles, filipinas y gorros. El correo es de facturación: pedir el canal adecuado para propuestas.</x:v>
      </x:c>
      <x:c r="N38" s="15" t="str">
        <x:v>Índice de directorio</x:v>
      </x:c>
      <x:c r="O38" s="20" t="n">
        <x:v>46288</x:v>
      </x:c>
      <x:c r="P38" s="22" t="str">
        <x:v>No contactado</x:v>
      </x:c>
      <x:c r="Q38" s="23"/>
      <x:c r="R38" s="23"/>
      <x:c r="S38" s="24" t="str"/>
      <x:c r="T38" s="15" t="str">
        <x:v>GL-017</x:v>
      </x:c>
      <x:c r="U38" s="17"/>
      <x:c r="V38" s="26" t="str">
        <x:v>https://www.allbiz.mx/costuras-citrus-33-1537-5347</x:v>
      </x:c>
      <x:c r="W38" s="26" t="str"/>
    </x:row>
    <x:row r="39" ht="64" customHeight="1">
      <x:c r="A39" s="15" t="str">
        <x:v>Media</x:v>
      </x:c>
      <x:c r="B39" s="15" t="str">
        <x:v>Handmade Handicraft</x:v>
      </x:c>
      <x:c r="C39" s="15" t="str">
        <x:v>Artesanías</x:v>
      </x:c>
      <x:c r="D39" s="15" t="str">
        <x:v>Nepal</x:v>
      </x:c>
      <x:c r="E39" s="18" t="str">
        <x:v>info@handmadehandicraft.com</x:v>
      </x:c>
      <x:c r="F39" s="18" t="str">
        <x:v>+977 1 5364660</x:v>
      </x:c>
      <x:c r="G39" s="25" t="str">
        <x:v>Enviar email</x:v>
      </x:c>
      <x:c r="H39" s="15" t="str">
        <x:v>Kathmandu</x:v>
      </x:c>
      <x:c r="I39" s="15" t="str">
        <x:v>Asia</x:v>
      </x:c>
      <x:c r="J39" s="15" t="str">
        <x:v>Inglés</x:v>
      </x:c>
      <x:c r="K39" s="15" t="str">
        <x:v>Catálogo por colección y consultas de exportación.</x:v>
      </x:c>
      <x:c r="L39" s="15" t="str">
        <x:v>Web encontrada; apertura limitada</x:v>
      </x:c>
      <x:c r="M39" s="15" t="str">
        <x:v>La página indexada publica tienda en Thamel y email; apertura directa con verificación anti-bot.</x:v>
      </x:c>
      <x:c r="N39" s="15" t="str">
        <x:v>Índice web; apertura limitada</x:v>
      </x:c>
      <x:c r="O39" s="20" t="n">
        <x:v>46288</x:v>
      </x:c>
      <x:c r="P39" s="22" t="str">
        <x:v>No contactado</x:v>
      </x:c>
      <x:c r="Q39" s="23"/>
      <x:c r="R39" s="23"/>
      <x:c r="S39" s="24" t="str"/>
      <x:c r="T39" s="15" t="str">
        <x:v>GL-055</x:v>
      </x:c>
      <x:c r="U39" s="17"/>
      <x:c r="V39" s="26" t="str">
        <x:v>https://handmadehandicraft.com/contact-us/</x:v>
      </x:c>
      <x:c r="W39" s="26" t="str"/>
    </x:row>
    <x:row r="40" ht="64" customHeight="1">
      <x:c r="A40" s="15" t="str">
        <x:v>Media</x:v>
      </x:c>
      <x:c r="B40" s="15" t="str">
        <x:v>Kathmandu Handmade</x:v>
      </x:c>
      <x:c r="C40" s="15" t="str">
        <x:v>Artesanías / tienda online</x:v>
      </x:c>
      <x:c r="D40" s="15" t="str">
        <x:v>Nepal</x:v>
      </x:c>
      <x:c r="E40" s="18" t="str">
        <x:v>kathmanduhandmade@gmail.com</x:v>
      </x:c>
      <x:c r="F40" s="18" t="str">
        <x:v>+977 9802342656</x:v>
      </x:c>
      <x:c r="G40" s="25" t="str">
        <x:v>Enviar email</x:v>
      </x:c>
      <x:c r="H40" s="15" t="str">
        <x:v>Bhaktapur</x:v>
      </x:c>
      <x:c r="I40" s="15" t="str">
        <x:v>Asia</x:v>
      </x:c>
      <x:c r="J40" s="15" t="str">
        <x:v>Inglés</x:v>
      </x:c>
      <x:c r="K40" s="15" t="str">
        <x:v>Revisar páginas de productos y consultas para distribuidores.</x:v>
      </x:c>
      <x:c r="L40" s="15" t="str">
        <x:v>Web propia consultada</x:v>
      </x:c>
      <x:c r="M40" s="15" t="str">
        <x:v>La página se identifica como negocio online y enlaza puntos de venta.</x:v>
      </x:c>
      <x:c r="N40" s="15" t="str">
        <x:v>Página consultada</x:v>
      </x:c>
      <x:c r="O40" s="20" t="n">
        <x:v>46288</x:v>
      </x:c>
      <x:c r="P40" s="22" t="str">
        <x:v>No contactado</x:v>
      </x:c>
      <x:c r="Q40" s="23"/>
      <x:c r="R40" s="23"/>
      <x:c r="S40" s="24" t="str"/>
      <x:c r="T40" s="15" t="str">
        <x:v>GL-056</x:v>
      </x:c>
      <x:c r="U40" s="17"/>
      <x:c r="V40" s="26" t="str">
        <x:v>https://www.kathmanduhandmade.com/contact/</x:v>
      </x:c>
      <x:c r="W40" s="26" t="str"/>
    </x:row>
    <x:row r="41" ht="64" customHeight="1">
      <x:c r="A41" s="15" t="str">
        <x:v>Media</x:v>
      </x:c>
      <x:c r="B41" s="15" t="str">
        <x:v>Topline Tailors</x:v>
      </x:c>
      <x:c r="C41" s="15" t="str">
        <x:v>Sastrería / arreglos</x:v>
      </x:c>
      <x:c r="D41" s="15" t="str">
        <x:v>Nueva Zelanda</x:v>
      </x:c>
      <x:c r="E41" s="18" t="str">
        <x:v>info@toplinetailors.co.nz</x:v>
      </x:c>
      <x:c r="F41" s="18" t="str">
        <x:v>+64 4 3846567</x:v>
      </x:c>
      <x:c r="G41" s="25" t="str">
        <x:v>Enviar email</x:v>
      </x:c>
      <x:c r="H41" s="15" t="str">
        <x:v>Wellington</x:v>
      </x:c>
      <x:c r="I41" s="15" t="str">
        <x:v>Oceanía</x:v>
      </x:c>
      <x:c r="J41" s="15" t="str">
        <x:v>Inglés</x:v>
      </x:c>
      <x:c r="K41" s="15" t="str">
        <x:v>Diferenciar sedes y cotizar arreglos con fotos.</x:v>
      </x:c>
      <x:c r="L41" s="15" t="str">
        <x:v>Web propia consultada</x:v>
      </x:c>
      <x:c r="M41" s="15" t="str">
        <x:v>La página publica dos sedes y un email común para consultas.</x:v>
      </x:c>
      <x:c r="N41" s="15" t="str">
        <x:v>Página consultada</x:v>
      </x:c>
      <x:c r="O41" s="20" t="n">
        <x:v>46288</x:v>
      </x:c>
      <x:c r="P41" s="22" t="str">
        <x:v>No contactado</x:v>
      </x:c>
      <x:c r="Q41" s="23"/>
      <x:c r="R41" s="23"/>
      <x:c r="S41" s="24" t="str"/>
      <x:c r="T41" s="15" t="str">
        <x:v>GL-065</x:v>
      </x:c>
      <x:c r="U41" s="17"/>
      <x:c r="V41" s="26" t="str">
        <x:v>https://toplinetailors.co.nz/contact/</x:v>
      </x:c>
      <x:c r="W41" s="26" t="str"/>
    </x:row>
    <x:row r="42" ht="64" customHeight="1">
      <x:c r="A42" s="15" t="str">
        <x:v>Media</x:v>
      </x:c>
      <x:c r="B42" s="15" t="str">
        <x:v>El Hormiguero Paraguay</x:v>
      </x:c>
      <x:c r="C42" s="15" t="str">
        <x:v>Organización de eventos</x:v>
      </x:c>
      <x:c r="D42" s="15" t="str">
        <x:v>Paraguay</x:v>
      </x:c>
      <x:c r="E42" s="18" t="str">
        <x:v>elhormigueropy@gmail.com</x:v>
      </x:c>
      <x:c r="F42" s="18" t="str">
        <x:v>+595 981 876153</x:v>
      </x:c>
      <x:c r="G42" s="25" t="str">
        <x:v>Enviar email</x:v>
      </x:c>
      <x:c r="H42" s="15" t="str">
        <x:v>Asunción</x:v>
      </x:c>
      <x:c r="I42" s="15" t="str">
        <x:v>América</x:v>
      </x:c>
      <x:c r="J42" s="15" t="str">
        <x:v>Español</x:v>
      </x:c>
      <x:c r="K42" s="15" t="str">
        <x:v>Confirmar actividad y ordenar reservas o talleres.</x:v>
      </x:c>
      <x:c r="L42" s="15" t="str">
        <x:v>Sin sitio propio declarado en la fuente consultada.</x:v>
      </x:c>
      <x:c r="M42" s="15" t="str">
        <x:v>El directorio lo clasifica como organización de convenciones y exposiciones. Confirmar si alquila espacios o produce eventos.</x:v>
      </x:c>
      <x:c r="N42" s="15" t="str">
        <x:v>Índice de directorio</x:v>
      </x:c>
      <x:c r="O42" s="20" t="n">
        <x:v>46288</x:v>
      </x:c>
      <x:c r="P42" s="22" t="str">
        <x:v>No contactado</x:v>
      </x:c>
      <x:c r="Q42" s="23"/>
      <x:c r="R42" s="23"/>
      <x:c r="S42" s="24" t="str"/>
      <x:c r="T42" s="15" t="str">
        <x:v>GL-006</x:v>
      </x:c>
      <x:c r="U42" s="17"/>
      <x:c r="V42" s="26" t="str">
        <x:v>https://paraguay.worldplaces.me/es/review/93873335-el-hormiguero-paraguay.html</x:v>
      </x:c>
      <x:c r="W42" s="26" t="str">
        <x:v>https://py.todosnegocios.com/el-hormiguero-paraguay-0981-876153</x:v>
      </x:c>
    </x:row>
    <x:row r="43" ht="64" customHeight="1">
      <x:c r="A43" s="15" t="str">
        <x:v>Media</x:v>
      </x:c>
      <x:c r="B43" s="15" t="str">
        <x:v>El Pye</x:v>
      </x:c>
      <x:c r="C43" s="15" t="str">
        <x:v>Cafetería / panadería</x:v>
      </x:c>
      <x:c r="D43" s="15" t="str">
        <x:v>Perú</x:v>
      </x:c>
      <x:c r="E43" s="18" t="str">
        <x:v>elpyecafe@gmail.com</x:v>
      </x:c>
      <x:c r="F43" s="18" t="str">
        <x:v>+51 999 222575</x:v>
      </x:c>
      <x:c r="G43" s="25" t="str">
        <x:v>Enviar email</x:v>
      </x:c>
      <x:c r="H43" s="15" t="str">
        <x:v>Lima</x:v>
      </x:c>
      <x:c r="I43" s="15" t="str">
        <x:v>América</x:v>
      </x:c>
      <x:c r="J43" s="15" t="str">
        <x:v>Español</x:v>
      </x:c>
      <x:c r="K43" s="15" t="str">
        <x:v>Carta visual y enlace único para pedidos.</x:v>
      </x:c>
      <x:c r="L43" s="15" t="str">
        <x:v>Directorio con redes; web propia por confirmar.</x:v>
      </x:c>
      <x:c r="M43" s="15" t="str">
        <x:v>El directorio identifica cafetería y panadería en Casapalca 1669 y publica el correo. Confirmar modalidad de pedidos.</x:v>
      </x:c>
      <x:c r="N43" s="15" t="str">
        <x:v>Índice de directorio</x:v>
      </x:c>
      <x:c r="O43" s="20" t="n">
        <x:v>46288</x:v>
      </x:c>
      <x:c r="P43" s="22" t="str">
        <x:v>No contactado</x:v>
      </x:c>
      <x:c r="Q43" s="23"/>
      <x:c r="R43" s="23"/>
      <x:c r="S43" s="24" t="str"/>
      <x:c r="T43" s="15" t="str">
        <x:v>GL-009</x:v>
      </x:c>
      <x:c r="U43" s="17"/>
      <x:c r="V43" s="26" t="str">
        <x:v>https://pe.todosnegocios.com/el-pye-999-222-575</x:v>
      </x:c>
      <x:c r="W43" s="26" t="str"/>
    </x:row>
    <x:row r="44" ht="64" customHeight="1">
      <x:c r="A44" s="15" t="str">
        <x:v>Media</x:v>
      </x:c>
      <x:c r="B44" s="15" t="str">
        <x:v>Mirandesa Guesthouse</x:v>
      </x:c>
      <x:c r="C44" s="15" t="str">
        <x:v>Alojamiento</x:v>
      </x:c>
      <x:c r="D44" s="15" t="str">
        <x:v>Portugal</x:v>
      </x:c>
      <x:c r="E44" s="18" t="str">
        <x:v>mirandesaguesthouse@gmail.com</x:v>
      </x:c>
      <x:c r="F44" s="18" t="str">
        <x:v>+351 225 377 727</x:v>
      </x:c>
      <x:c r="G44" s="25" t="str">
        <x:v>Enviar email</x:v>
      </x:c>
      <x:c r="H44" s="15" t="str">
        <x:v>Porto</x:v>
      </x:c>
      <x:c r="I44" s="15" t="str">
        <x:v>Europa</x:v>
      </x:c>
      <x:c r="J44" s="15" t="str">
        <x:v>Portugués o inglés</x:v>
      </x:c>
      <x:c r="K44" s="15" t="str">
        <x:v>Página bilingüe con habitaciones, ubicación y consulta de fechas.</x:v>
      </x:c>
      <x:c r="L44" s="15" t="str">
        <x:v>Web propia pendiente de revisar</x:v>
      </x:c>
      <x:c r="M44" s="15" t="str">
        <x:v>El portal turístico municipal publica habitaciones y contacto. Confirmar cuál es su web vigente.</x:v>
      </x:c>
      <x:c r="N44" s="15" t="str">
        <x:v>Página consultada</x:v>
      </x:c>
      <x:c r="O44" s="20" t="n">
        <x:v>46288</x:v>
      </x:c>
      <x:c r="P44" s="22" t="str">
        <x:v>No contactado</x:v>
      </x:c>
      <x:c r="Q44" s="23"/>
      <x:c r="R44" s="23"/>
      <x:c r="S44" s="24" t="str"/>
      <x:c r="T44" s="15" t="str">
        <x:v>GL-040</x:v>
      </x:c>
      <x:c r="U44" s="17"/>
      <x:c r="V44" s="26" t="str">
        <x:v>https://visitporto.travel/en-GB/poi/5cd04b44f979e00001d9a7bb</x:v>
      </x:c>
      <x:c r="W44" s="26" t="str"/>
    </x:row>
    <x:row r="45" ht="64" customHeight="1">
      <x:c r="A45" s="15" t="str">
        <x:v>Media</x:v>
      </x:c>
      <x:c r="B45" s="15" t="str">
        <x:v>Porta Azul Guesthouse</x:v>
      </x:c>
      <x:c r="C45" s="15" t="str">
        <x:v>Alojamiento</x:v>
      </x:c>
      <x:c r="D45" s="15" t="str">
        <x:v>Portugal</x:v>
      </x:c>
      <x:c r="E45" s="18" t="str">
        <x:v>portaazul204@gmail.com</x:v>
      </x:c>
      <x:c r="F45" s="18" t="str">
        <x:v>+351 224 037 706</x:v>
      </x:c>
      <x:c r="G45" s="25" t="str">
        <x:v>Enviar email</x:v>
      </x:c>
      <x:c r="H45" s="15" t="str">
        <x:v>Porto</x:v>
      </x:c>
      <x:c r="I45" s="15" t="str">
        <x:v>Europa</x:v>
      </x:c>
      <x:c r="J45" s="15" t="str">
        <x:v>Portugués o inglés</x:v>
      </x:c>
      <x:c r="K45" s="15" t="str">
        <x:v>Presentación de habitaciones y solicitud de reserva directa.</x:v>
      </x:c>
      <x:c r="L45" s="15" t="str">
        <x:v>Web propia pendiente de revisar</x:v>
      </x:c>
      <x:c r="M45" s="15" t="str">
        <x:v>Turismo de Portugal publica contacto y una web; el sitio del alojamiento requiere revisión.</x:v>
      </x:c>
      <x:c r="N45" s="15" t="str">
        <x:v>Página consultada</x:v>
      </x:c>
      <x:c r="O45" s="20" t="n">
        <x:v>46288</x:v>
      </x:c>
      <x:c r="P45" s="22" t="str">
        <x:v>No contactado</x:v>
      </x:c>
      <x:c r="Q45" s="23"/>
      <x:c r="R45" s="23"/>
      <x:c r="S45" s="24" t="str"/>
      <x:c r="T45" s="15" t="str">
        <x:v>GL-039</x:v>
      </x:c>
      <x:c r="U45" s="17"/>
      <x:c r="V45" s="26" t="str">
        <x:v>https://www.visitportugal.com/en/node/336093</x:v>
      </x:c>
      <x:c r="W45" s="26" t="str"/>
    </x:row>
    <x:row r="46" ht="64" customHeight="1">
      <x:c r="A46" s="15" t="str">
        <x:v>Media</x:v>
      </x:c>
      <x:c r="B46" s="15" t="str">
        <x:v>Boing Bicycles</x:v>
      </x:c>
      <x:c r="C46" s="15" t="str">
        <x:v>Reparación móvil de bicicletas</x:v>
      </x:c>
      <x:c r="D46" s="15" t="str">
        <x:v>Reino Unido</x:v>
      </x:c>
      <x:c r="E46" s="18" t="str">
        <x:v>sales@boingbicycles.com</x:v>
      </x:c>
      <x:c r="F46" s="18" t="str">
        <x:v>+44 117 3620212</x:v>
      </x:c>
      <x:c r="G46" s="25" t="str">
        <x:v>Enviar email</x:v>
      </x:c>
      <x:c r="H46" s="15" t="str">
        <x:v>Bristol</x:v>
      </x:c>
      <x:c r="I46" s="15" t="str">
        <x:v>Europa</x:v>
      </x:c>
      <x:c r="J46" s="15" t="str">
        <x:v>Inglés</x:v>
      </x:c>
      <x:c r="K46" s="15" t="str">
        <x:v>Ordenar cobertura y consulta de reparación a domicilio.</x:v>
      </x:c>
      <x:c r="L46" s="15" t="str">
        <x:v>Web propia consultada</x:v>
      </x:c>
      <x:c r="M46" s="15" t="str">
        <x:v>La página consultada está en Wix y ofrece servicio móvil; confirmar dominio y zonas vigentes.</x:v>
      </x:c>
      <x:c r="N46" s="15" t="str">
        <x:v>Página consultada</x:v>
      </x:c>
      <x:c r="O46" s="20" t="n">
        <x:v>46288</x:v>
      </x:c>
      <x:c r="P46" s="22" t="str">
        <x:v>No contactado</x:v>
      </x:c>
      <x:c r="Q46" s="23"/>
      <x:c r="R46" s="23"/>
      <x:c r="S46" s="24" t="str"/>
      <x:c r="T46" s="15" t="str">
        <x:v>GL-042</x:v>
      </x:c>
      <x:c r="U46" s="17"/>
      <x:c r="V46" s="26" t="str">
        <x:v>https://boingbicycles.wixsite.com/boingbicycles</x:v>
      </x:c>
      <x:c r="W46" s="26" t="str"/>
    </x:row>
    <x:row r="47" ht="64" customHeight="1">
      <x:c r="A47" s="15" t="str">
        <x:v>Media</x:v>
      </x:c>
      <x:c r="B47" s="15" t="str">
        <x:v>Jaymy's Beach Fales</x:v>
      </x:c>
      <x:c r="C47" s="15" t="str">
        <x:v>Alojamiento / actividades</x:v>
      </x:c>
      <x:c r="D47" s="15" t="str">
        <x:v>Samoa</x:v>
      </x:c>
      <x:c r="E47" s="18" t="str">
        <x:v>jaymybeachfales@gmail.com</x:v>
      </x:c>
      <x:c r="F47" s="18" t="str">
        <x:v>+685 7581109</x:v>
      </x:c>
      <x:c r="G47" s="25" t="str">
        <x:v>Enviar email</x:v>
      </x:c>
      <x:c r="H47" s="15" t="str">
        <x:v>Saleapaga, Upolu</x:v>
      </x:c>
      <x:c r="I47" s="15" t="str">
        <x:v>Oceanía</x:v>
      </x:c>
      <x:c r="J47" s="15" t="str">
        <x:v>Inglés</x:v>
      </x:c>
      <x:c r="K47" s="15" t="str">
        <x:v>Presentar tipos de alojamiento, actividades y consulta de fechas.</x:v>
      </x:c>
      <x:c r="L47" s="15" t="str">
        <x:v>Web propia pendiente de revisar</x:v>
      </x:c>
      <x:c r="M47" s="15" t="str">
        <x:v>El portal turístico describe fales abiertos y cerrados, comidas y actividades culturales.</x:v>
      </x:c>
      <x:c r="N47" s="15" t="str">
        <x:v>Página consultada</x:v>
      </x:c>
      <x:c r="O47" s="20" t="n">
        <x:v>46288</x:v>
      </x:c>
      <x:c r="P47" s="22" t="str">
        <x:v>No contactado</x:v>
      </x:c>
      <x:c r="Q47" s="23"/>
      <x:c r="R47" s="23"/>
      <x:c r="S47" s="24" t="str"/>
      <x:c r="T47" s="15" t="str">
        <x:v>GL-070</x:v>
      </x:c>
      <x:c r="U47" s="17"/>
      <x:c r="V47" s="26" t="str">
        <x:v>https://www.samoa.travel/plan-book/samoa-accommodation/jaymys-beach-fales/</x:v>
      </x:c>
      <x:c r="W47" s="26" t="str"/>
    </x:row>
    <x:row r="48" ht="64" customHeight="1">
      <x:c r="A48" s="15" t="str">
        <x:v>Media</x:v>
      </x:c>
      <x:c r="B48" s="15" t="str">
        <x:v>Namu'a Island Beach Fales</x:v>
      </x:c>
      <x:c r="C48" s="15" t="str">
        <x:v>Alojamiento / turismo</x:v>
      </x:c>
      <x:c r="D48" s="15" t="str">
        <x:v>Samoa</x:v>
      </x:c>
      <x:c r="E48" s="18" t="str">
        <x:v>namuaislandbeachfales@gmail.com</x:v>
      </x:c>
      <x:c r="F48" s="18" t="str">
        <x:v>+685 7588209</x:v>
      </x:c>
      <x:c r="G48" s="25" t="str">
        <x:v>Enviar email</x:v>
      </x:c>
      <x:c r="H48" s="15" t="str">
        <x:v>Isla Namu'a, Upolu</x:v>
      </x:c>
      <x:c r="I48" s="15" t="str">
        <x:v>Oceanía</x:v>
      </x:c>
      <x:c r="J48" s="15" t="str">
        <x:v>Inglés</x:v>
      </x:c>
      <x:c r="K48" s="15" t="str">
        <x:v>Página con alojamiento, traslado en barco y consulta de fechas.</x:v>
      </x:c>
      <x:c r="L48" s="15" t="str">
        <x:v>Web propia pendiente de revisar</x:v>
      </x:c>
      <x:c r="M48" s="15" t="str">
        <x:v>El portal turístico publica alojamiento y recogida en barco; confirmar web y operativa actuales.</x:v>
      </x:c>
      <x:c r="N48" s="15" t="str">
        <x:v>Índice web; apertura limitada</x:v>
      </x:c>
      <x:c r="O48" s="20" t="n">
        <x:v>46288</x:v>
      </x:c>
      <x:c r="P48" s="22" t="str">
        <x:v>No contactado</x:v>
      </x:c>
      <x:c r="Q48" s="23"/>
      <x:c r="R48" s="23"/>
      <x:c r="S48" s="24" t="str"/>
      <x:c r="T48" s="15" t="str">
        <x:v>GL-069</x:v>
      </x:c>
      <x:c r="U48" s="17"/>
      <x:c r="V48" s="26" t="str">
        <x:v>https://www.samoa.travel/plan-book/samoa-accommodation/namua-island-beach-fales/</x:v>
      </x:c>
      <x:c r="W48" s="26" t="str"/>
    </x:row>
    <x:row r="49" ht="64" customHeight="1">
      <x:c r="A49" s="15" t="str">
        <x:v>Media</x:v>
      </x:c>
      <x:c r="B49" s="15" t="str">
        <x:v>Galle Cooking Class</x:v>
      </x:c>
      <x:c r="C49" s="15" t="str">
        <x:v>Clases de cocina</x:v>
      </x:c>
      <x:c r="D49" s="15" t="str">
        <x:v>Sri Lanka</x:v>
      </x:c>
      <x:c r="E49" s="18" t="str">
        <x:v>info@gallecookingclass.com</x:v>
      </x:c>
      <x:c r="F49" s="18" t="str">
        <x:v>+94 77 3478160</x:v>
      </x:c>
      <x:c r="G49" s="25" t="str">
        <x:v>Enviar email</x:v>
      </x:c>
      <x:c r="H49" s="15" t="str">
        <x:v>Talpe, Galle</x:v>
      </x:c>
      <x:c r="I49" s="15" t="str">
        <x:v>Asia</x:v>
      </x:c>
      <x:c r="J49" s="15" t="str">
        <x:v>Inglés</x:v>
      </x:c>
      <x:c r="K49" s="15" t="str">
        <x:v>Consulta de clase por fecha, asistentes y preferencias alimentarias.</x:v>
      </x:c>
      <x:c r="L49" s="15" t="str">
        <x:v>Web propia consultada</x:v>
      </x:c>
      <x:c r="M49" s="15" t="str">
        <x:v>Ofrece experiencias de cocina; el formulario de contacto es general.</x:v>
      </x:c>
      <x:c r="N49" s="15" t="str">
        <x:v>Página consultada</x:v>
      </x:c>
      <x:c r="O49" s="20" t="n">
        <x:v>46288</x:v>
      </x:c>
      <x:c r="P49" s="22" t="str">
        <x:v>No contactado</x:v>
      </x:c>
      <x:c r="Q49" s="23"/>
      <x:c r="R49" s="23"/>
      <x:c r="S49" s="24" t="str"/>
      <x:c r="T49" s="15" t="str">
        <x:v>GL-057</x:v>
      </x:c>
      <x:c r="U49" s="17"/>
      <x:c r="V49" s="26" t="str">
        <x:v>https://gallecookingclass.com/contact-us/</x:v>
      </x:c>
      <x:c r="W49" s="26" t="str"/>
    </x:row>
    <x:row r="50" ht="64" customHeight="1">
      <x:c r="A50" s="15" t="str">
        <x:v>Media</x:v>
      </x:c>
      <x:c r="B50" s="15" t="str">
        <x:v>Doggie Land Group</x:v>
      </x:c>
      <x:c r="C50" s="15" t="str">
        <x:v>Peluquería de mascotas</x:v>
      </x:c>
      <x:c r="D50" s="15" t="str">
        <x:v>Sudáfrica</x:v>
      </x:c>
      <x:c r="E50" s="18" t="str">
        <x:v>info@doggielandgroup.co.za</x:v>
      </x:c>
      <x:c r="F50" s="18" t="str">
        <x:v>+27 72 2169075</x:v>
      </x:c>
      <x:c r="G50" s="25" t="str">
        <x:v>Enviar email</x:v>
      </x:c>
      <x:c r="H50" s="15" t="str">
        <x:v>Ciudad del Cabo</x:v>
      </x:c>
      <x:c r="I50" s="15" t="str">
        <x:v>África</x:v>
      </x:c>
      <x:c r="J50" s="15" t="str">
        <x:v>Inglés</x:v>
      </x:c>
      <x:c r="K50" s="15" t="str">
        <x:v>Diferenciar turnos en local y atención a domicilio.</x:v>
      </x:c>
      <x:c r="L50" s="15" t="str">
        <x:v>Web propia consultada</x:v>
      </x:c>
      <x:c r="M50" s="15" t="str">
        <x:v>Empresa familiar con salón y servicio móvil; publica WhatsApp para reservar.</x:v>
      </x:c>
      <x:c r="N50" s="15" t="str">
        <x:v>Página consultada</x:v>
      </x:c>
      <x:c r="O50" s="20" t="n">
        <x:v>46288</x:v>
      </x:c>
      <x:c r="P50" s="22" t="str">
        <x:v>No contactado</x:v>
      </x:c>
      <x:c r="Q50" s="23"/>
      <x:c r="R50" s="23"/>
      <x:c r="S50" s="24" t="str"/>
      <x:c r="T50" s="15" t="str">
        <x:v>GL-046</x:v>
      </x:c>
      <x:c r="U50" s="17"/>
      <x:c r="V50" s="26" t="str">
        <x:v>https://doggielandgroup.co.za/</x:v>
      </x:c>
      <x:c r="W50" s="26" t="str"/>
    </x:row>
    <x:row r="51" ht="64" customHeight="1">
      <x:c r="A51" s="15" t="str">
        <x:v>Media</x:v>
      </x:c>
      <x:c r="B51" s="15" t="str">
        <x:v>Raptor Safari &amp; Tours</x:v>
      </x:c>
      <x:c r="C51" s="15" t="str">
        <x:v>Agencia de safaris</x:v>
      </x:c>
      <x:c r="D51" s="15" t="str">
        <x:v>Tanzania</x:v>
      </x:c>
      <x:c r="E51" s="18" t="str">
        <x:v>info@raptorsafariandtours.co.tz</x:v>
      </x:c>
      <x:c r="F51" s="18" t="str">
        <x:v>+255 762 550932</x:v>
      </x:c>
      <x:c r="G51" s="25" t="str">
        <x:v>Enviar email</x:v>
      </x:c>
      <x:c r="H51" s="15" t="str">
        <x:v>Arusha</x:v>
      </x:c>
      <x:c r="I51" s="15" t="str">
        <x:v>África</x:v>
      </x:c>
      <x:c r="J51" s="15" t="str">
        <x:v>Inglés</x:v>
      </x:c>
      <x:c r="K51" s="15" t="str">
        <x:v>Revisar claridad del formulario de viaje y contenido por idioma.</x:v>
      </x:c>
      <x:c r="L51" s="15" t="str">
        <x:v>Web encontrada; apertura limitada</x:v>
      </x:c>
      <x:c r="M51" s="15" t="str">
        <x:v>La página indexada ya pide fechas y pasajeros; ofrecer revisión puntual, no reconstrucción sin diagnóstico.</x:v>
      </x:c>
      <x:c r="N51" s="15" t="str">
        <x:v>Índice web; apertura limitada</x:v>
      </x:c>
      <x:c r="O51" s="20" t="n">
        <x:v>46288</x:v>
      </x:c>
      <x:c r="P51" s="22" t="str">
        <x:v>No contactado</x:v>
      </x:c>
      <x:c r="Q51" s="23"/>
      <x:c r="R51" s="23"/>
      <x:c r="S51" s="24" t="str"/>
      <x:c r="T51" s="15" t="str">
        <x:v>GL-051</x:v>
      </x:c>
      <x:c r="U51" s="17"/>
      <x:c r="V51" s="26" t="str">
        <x:v>https://raptorsafariandtours.co.tz/index.php/contact-us/</x:v>
      </x:c>
      <x:c r="W51" s="26" t="str"/>
    </x:row>
    <x:row r="52" ht="64" customHeight="1">
      <x:c r="A52" s="15" t="str">
        <x:v>Media</x:v>
      </x:c>
      <x:c r="B52" s="15" t="str">
        <x:v>Wild Tanzania Safaris</x:v>
      </x:c>
      <x:c r="C52" s="15" t="str">
        <x:v>Agencia de safaris</x:v>
      </x:c>
      <x:c r="D52" s="15" t="str">
        <x:v>Tanzania</x:v>
      </x:c>
      <x:c r="E52" s="18" t="str">
        <x:v>info@wild-tanzania-safaris.com</x:v>
      </x:c>
      <x:c r="F52" s="18" t="str">
        <x:v>+255 787 394094</x:v>
      </x:c>
      <x:c r="G52" s="25" t="str">
        <x:v>Enviar email</x:v>
      </x:c>
      <x:c r="H52" s="15" t="str">
        <x:v>Arusha</x:v>
      </x:c>
      <x:c r="I52" s="15" t="str">
        <x:v>África</x:v>
      </x:c>
      <x:c r="J52" s="15" t="str">
        <x:v>Inglés</x:v>
      </x:c>
      <x:c r="K52" s="15" t="str">
        <x:v>Agregar fechas, viajeros y preferencias a la consulta.</x:v>
      </x:c>
      <x:c r="L52" s="15" t="str">
        <x:v>Web propia consultada</x:v>
      </x:c>
      <x:c r="M52" s="15" t="str">
        <x:v>El formulario consultado pide datos personales, paquete y mensaje libre.</x:v>
      </x:c>
      <x:c r="N52" s="15" t="str">
        <x:v>Página consultada</x:v>
      </x:c>
      <x:c r="O52" s="20" t="n">
        <x:v>46288</x:v>
      </x:c>
      <x:c r="P52" s="22" t="str">
        <x:v>No contactado</x:v>
      </x:c>
      <x:c r="Q52" s="23"/>
      <x:c r="R52" s="23"/>
      <x:c r="S52" s="24" t="str"/>
      <x:c r="T52" s="15" t="str">
        <x:v>GL-052</x:v>
      </x:c>
      <x:c r="U52" s="17"/>
      <x:c r="V52" s="26" t="str">
        <x:v>https://wild-tanzania-safaris.com/tour/booking</x:v>
      </x:c>
      <x:c r="W52" s="26" t="str"/>
    </x:row>
    <x:row r="53" ht="64" customHeight="1">
      <x:c r="A53" s="15" t="str">
        <x:v>Media</x:v>
      </x:c>
      <x:c r="B53" s="15" t="str">
        <x:v>Sammy's Port Vila Tours &amp; Transfers</x:v>
      </x:c>
      <x:c r="C53" s="15" t="str">
        <x:v>Excursiones / traslados</x:v>
      </x:c>
      <x:c r="D53" s="15" t="str">
        <x:v>Vanuatu</x:v>
      </x:c>
      <x:c r="E53" s="18" t="str">
        <x:v>info@sammystours.com</x:v>
      </x:c>
      <x:c r="F53" s="18" t="str">
        <x:v>+678 7309638</x:v>
      </x:c>
      <x:c r="G53" s="25" t="str">
        <x:v>Enviar email</x:v>
      </x:c>
      <x:c r="H53" s="15" t="str">
        <x:v>Port Vila</x:v>
      </x:c>
      <x:c r="I53" s="15" t="str">
        <x:v>Oceanía</x:v>
      </x:c>
      <x:c r="J53" s="15" t="str">
        <x:v>Inglés</x:v>
      </x:c>
      <x:c r="K53" s="15" t="str">
        <x:v>Organizar consultas según crucero, vuelo o excursión.</x:v>
      </x:c>
      <x:c r="L53" s="15" t="str">
        <x:v>Web propia consultada</x:v>
      </x:c>
      <x:c r="M53" s="15" t="str">
        <x:v>Operador familiar con tours y traslados; publica WhatsApp y email.</x:v>
      </x:c>
      <x:c r="N53" s="15" t="str">
        <x:v>Página consultada</x:v>
      </x:c>
      <x:c r="O53" s="20" t="n">
        <x:v>46288</x:v>
      </x:c>
      <x:c r="P53" s="22" t="str">
        <x:v>No contactado</x:v>
      </x:c>
      <x:c r="Q53" s="23"/>
      <x:c r="R53" s="23"/>
      <x:c r="S53" s="24" t="str"/>
      <x:c r="T53" s="15" t="str">
        <x:v>GL-072</x:v>
      </x:c>
      <x:c r="U53" s="17"/>
      <x:c r="V53" s="26" t="str">
        <x:v>https://www.sammystours.com/</x:v>
      </x:c>
      <x:c r="W53" s="26" t="str"/>
    </x:row>
    <x:row r="54" ht="64" customHeight="1">
      <x:c r="A54" s="15" t="str">
        <x:v>Media</x:v>
      </x:c>
      <x:c r="B54" s="15" t="str">
        <x:v>South Pacific Tours Vanuatu</x:v>
      </x:c>
      <x:c r="C54" s="15" t="str">
        <x:v>Excursiones / traslados</x:v>
      </x:c>
      <x:c r="D54" s="15" t="str">
        <x:v>Vanuatu</x:v>
      </x:c>
      <x:c r="E54" s="18" t="str">
        <x:v>sptvila@melanesian.com.vu</x:v>
      </x:c>
      <x:c r="F54" s="18" t="str">
        <x:v>+678 26559</x:v>
      </x:c>
      <x:c r="G54" s="25" t="str">
        <x:v>Enviar email</x:v>
      </x:c>
      <x:c r="H54" s="15" t="str">
        <x:v>Port Vila</x:v>
      </x:c>
      <x:c r="I54" s="15" t="str">
        <x:v>Oceanía</x:v>
      </x:c>
      <x:c r="J54" s="15" t="str">
        <x:v>Inglés</x:v>
      </x:c>
      <x:c r="K54" s="15" t="str">
        <x:v>Consulta de itinerario con fecha, pasajeros y recogida.</x:v>
      </x:c>
      <x:c r="L54" s="15" t="str">
        <x:v>Web propia consultada</x:v>
      </x:c>
      <x:c r="M54" s="15" t="str">
        <x:v>La web ofrece transporte privado, guías y excursiones, con contacto por email.</x:v>
      </x:c>
      <x:c r="N54" s="15" t="str">
        <x:v>Página consultada</x:v>
      </x:c>
      <x:c r="O54" s="20" t="n">
        <x:v>46288</x:v>
      </x:c>
      <x:c r="P54" s="22" t="str">
        <x:v>No contactado</x:v>
      </x:c>
      <x:c r="Q54" s="23"/>
      <x:c r="R54" s="23"/>
      <x:c r="S54" s="24" t="str"/>
      <x:c r="T54" s="15" t="str">
        <x:v>GL-071</x:v>
      </x:c>
      <x:c r="U54" s="17"/>
      <x:c r="V54" s="26" t="str">
        <x:v>https://www.southpacifictoursvanuatu.com/en/</x:v>
      </x:c>
      <x:c r="W54" s="26" t="str"/>
    </x:row>
    <x:row r="55" ht="64" customHeight="1">
      <x:c r="A55" s="15" t="str">
        <x:v>Media</x:v>
      </x:c>
      <x:c r="B55" s="15" t="str">
        <x:v>Linh Tailor Hoi An</x:v>
      </x:c>
      <x:c r="C55" s="15" t="str">
        <x:v>Sastrería a medida</x:v>
      </x:c>
      <x:c r="D55" s="15" t="str">
        <x:v>Vietnam</x:v>
      </x:c>
      <x:c r="E55" s="18" t="str">
        <x:v>linhtailorhoian@gmail.com</x:v>
      </x:c>
      <x:c r="F55" s="18" t="str">
        <x:v>+84 79 6779993</x:v>
      </x:c>
      <x:c r="G55" s="25" t="str">
        <x:v>Enviar email</x:v>
      </x:c>
      <x:c r="H55" s="15" t="str">
        <x:v>Hoi An</x:v>
      </x:c>
      <x:c r="I55" s="15" t="str">
        <x:v>Asia</x:v>
      </x:c>
      <x:c r="J55" s="15" t="str">
        <x:v>Inglés</x:v>
      </x:c>
      <x:c r="K55" s="15" t="str">
        <x:v>Organizar solicitudes por prenda, fecha de visita y referencias.</x:v>
      </x:c>
      <x:c r="L55" s="15" t="str">
        <x:v>Web propia consultada</x:v>
      </x:c>
      <x:c r="M55" s="15" t="str">
        <x:v>La web presenta prendas a medida y contacto por WhatsApp y correo.</x:v>
      </x:c>
      <x:c r="N55" s="15" t="str">
        <x:v>Página consultada</x:v>
      </x:c>
      <x:c r="O55" s="20" t="n">
        <x:v>46288</x:v>
      </x:c>
      <x:c r="P55" s="22" t="str">
        <x:v>No contactado</x:v>
      </x:c>
      <x:c r="Q55" s="23"/>
      <x:c r="R55" s="23"/>
      <x:c r="S55" s="24" t="str"/>
      <x:c r="T55" s="15" t="str">
        <x:v>GL-060</x:v>
      </x:c>
      <x:c r="U55" s="17"/>
      <x:c r="V55" s="26" t="str">
        <x:v>https://linhtailor.com/</x:v>
      </x:c>
      <x:c r="W55" s="26" t="str"/>
    </x:row>
    <x:row r="56" ht="64" customHeight="1">
      <x:c r="A56" s="15" t="str">
        <x:v>Media</x:v>
      </x:c>
      <x:c r="B56" s="15" t="str">
        <x:v>WIN Custom Tailor</x:v>
      </x:c>
      <x:c r="C56" s="15" t="str">
        <x:v>Sastrería a medida</x:v>
      </x:c>
      <x:c r="D56" s="15" t="str">
        <x:v>Vietnam</x:v>
      </x:c>
      <x:c r="E56" s="18" t="str">
        <x:v>wincustomtailor@gmail.com</x:v>
      </x:c>
      <x:c r="F56" s="18" t="str">
        <x:v>+84 90 5984436</x:v>
      </x:c>
      <x:c r="G56" s="25" t="str">
        <x:v>Enviar email</x:v>
      </x:c>
      <x:c r="H56" s="15" t="str">
        <x:v>Hoi An</x:v>
      </x:c>
      <x:c r="I56" s="15" t="str">
        <x:v>Asia</x:v>
      </x:c>
      <x:c r="J56" s="15" t="str">
        <x:v>Inglés</x:v>
      </x:c>
      <x:c r="K56" s="15" t="str">
        <x:v>Página de consultas para bodas o grupos de viajeros.</x:v>
      </x:c>
      <x:c r="L56" s="15" t="str">
        <x:v>Web propia consultada</x:v>
      </x:c>
      <x:c r="M56" s="15" t="str">
        <x:v>Ya ofrece citas y WhatsApp; explorar una campaña concreta antes de proponer cambios.</x:v>
      </x:c>
      <x:c r="N56" s="15" t="str">
        <x:v>Página consultada</x:v>
      </x:c>
      <x:c r="O56" s="20" t="n">
        <x:v>46288</x:v>
      </x:c>
      <x:c r="P56" s="22" t="str">
        <x:v>No contactado</x:v>
      </x:c>
      <x:c r="Q56" s="23"/>
      <x:c r="R56" s="23"/>
      <x:c r="S56" s="24" t="str"/>
      <x:c r="T56" s="15" t="str">
        <x:v>GL-059</x:v>
      </x:c>
      <x:c r="U56" s="17"/>
      <x:c r="V56" s="26" t="str">
        <x:v>https://www.hoiantailor.com/</x:v>
      </x:c>
      <x:c r="W56" s="26" t="str"/>
    </x:row>
    <x:row r="57" ht="64" customHeight="1">
      <x:c r="A57" s="15" t="str">
        <x:v>Revalidar</x:v>
      </x:c>
      <x:c r="B57" s="15" t="str">
        <x:v>El Ceibo</x:v>
      </x:c>
      <x:c r="C57" s="15" t="str">
        <x:v>Vivero / jardinería</x:v>
      </x:c>
      <x:c r="D57" s="15" t="str">
        <x:v>Argentina</x:v>
      </x:c>
      <x:c r="E57" s="18" t="str">
        <x:v>viveroelceibo@hotmail.com</x:v>
      </x:c>
      <x:c r="F57" s="18" t="str">
        <x:v>+54 351 462-1813 / +54 351 305-1410</x:v>
      </x:c>
      <x:c r="G57" s="25" t="str">
        <x:v>Enviar email</x:v>
      </x:c>
      <x:c r="H57" s="15" t="str">
        <x:v>Córdoba</x:v>
      </x:c>
      <x:c r="I57" s="15" t="str">
        <x:v>América</x:v>
      </x:c>
      <x:c r="J57" s="15" t="str">
        <x:v>Español</x:v>
      </x:c>
      <x:c r="K57" s="15" t="str">
        <x:v>Catálogo estacional del vivero con consultas.</x:v>
      </x:c>
      <x:c r="L57" s="15" t="str">
        <x:v>Base 10/09: No encontré web propia inequívoca</x:v>
      </x:c>
      <x:c r="M57" s="15" t="str">
        <x:v>Revisión del 10/09/2026: El Ceibo de Vélez Sarsfield, Córdoba, figura como vivero en directorios que coinciden en el teléfono. No encontré una web propia asociada de forma segura a esta sucursal. Hay viveros homónimos con sitio: no deben atribuirse al negocio sin cruzar datos.</x:v>
      </x:c>
      <x:c r="N57" s="15" t="str">
        <x:v>Base anterior: revalidar</x:v>
      </x:c>
      <x:c r="O57" s="20" t="n">
        <x:v>46275</x:v>
      </x:c>
      <x:c r="P57" s="22" t="str">
        <x:v>No contactado</x:v>
      </x:c>
      <x:c r="Q57" s="23"/>
      <x:c r="R57" s="23"/>
      <x:c r="S57" s="24" t="str"/>
      <x:c r="T57" s="15" t="str">
        <x:v>GL-002</x:v>
      </x:c>
      <x:c r="U57" s="17"/>
      <x:c r="V57" s="26" t="str">
        <x:v>https://www.guiaurbana.com.ar/empresas/el-ceibo-cordoba</x:v>
      </x:c>
      <x:c r="W57" s="26" t="str">
        <x:v>https://ar.todosnegocios.com/el-ceibo_7i-0351-462-1813</x:v>
      </x:c>
    </x:row>
    <x:row r="58" ht="64" customHeight="1">
      <x:c r="A58" s="15" t="str">
        <x:v>Revalidar</x:v>
      </x:c>
      <x:c r="B58" s="15" t="str">
        <x:v>Boutique on Line Sin Secretos</x:v>
      </x:c>
      <x:c r="C58" s="15" t="str">
        <x:v>Boutique de indumentaria</x:v>
      </x:c>
      <x:c r="D58" s="15" t="str">
        <x:v>Bolivia</x:v>
      </x:c>
      <x:c r="E58" s="18" t="str">
        <x:v>gabymor_63@hotmail.com</x:v>
      </x:c>
      <x:c r="F58" s="18" t="str">
        <x:v>+591 73266896</x:v>
      </x:c>
      <x:c r="G58" s="25" t="str">
        <x:v>Enviar email</x:v>
      </x:c>
      <x:c r="H58" s="15" t="str">
        <x:v>La Paz</x:v>
      </x:c>
      <x:c r="I58" s="15" t="str">
        <x:v>América</x:v>
      </x:c>
      <x:c r="J58" s="15" t="str">
        <x:v>Español</x:v>
      </x:c>
      <x:c r="K58" s="15" t="str">
        <x:v>Validar identidad; después, catálogo por colección.</x:v>
      </x:c>
      <x:c r="L58" s="15" t="str">
        <x:v>Base 10/09: Sin web confirmada; identidad por validar</x:v>
      </x:c>
      <x:c r="M58" s="15" t="str">
        <x:v>Revisión del 10/09/2026: Boutique on Line Sin Secretos aparece con teléfono, email y Facebook. Otra fuente muestra dirección y teléfono diferentes para un nombre similar. No pude resolver si se trata de mudanza, cambio de contacto u otro comercio. Tampoco se confirmó una web actual.</x:v>
      </x:c>
      <x:c r="N58" s="15" t="str">
        <x:v>Base anterior: revalidar</x:v>
      </x:c>
      <x:c r="O58" s="20" t="n">
        <x:v>46275</x:v>
      </x:c>
      <x:c r="P58" s="22" t="str">
        <x:v>No contactado</x:v>
      </x:c>
      <x:c r="Q58" s="23"/>
      <x:c r="R58" s="23"/>
      <x:c r="S58" s="24" t="str"/>
      <x:c r="T58" s="15" t="str">
        <x:v>GL-011</x:v>
      </x:c>
      <x:c r="U58" s="17"/>
      <x:c r="V58" s="26" t="str">
        <x:v>https://bo.todosnegocios.com/boutique-on-line-sin-secretos-73266896</x:v>
      </x:c>
      <x:c r="W58" s="26" t="str"/>
    </x:row>
    <x:row r="59" ht="64" customHeight="1">
      <x:c r="A59" s="15" t="str">
        <x:v>Revalidar</x:v>
      </x:c>
      <x:c r="B59" s="15" t="str">
        <x:v>INFINITO soluciones informáticas</x:v>
      </x:c>
      <x:c r="C59" s="15" t="str">
        <x:v>Reparación informática</x:v>
      </x:c>
      <x:c r="D59" s="15" t="str">
        <x:v>Bolivia</x:v>
      </x:c>
      <x:c r="E59" s="18" t="str">
        <x:v>—</x:v>
      </x:c>
      <x:c r="F59" s="18" t="str">
        <x:v>+591 2 2201930</x:v>
      </x:c>
      <x:c r="G59" s="25" t="str">
        <x:v>Llamar</x:v>
      </x:c>
      <x:c r="H59" s="15" t="str">
        <x:v>La Paz</x:v>
      </x:c>
      <x:c r="I59" s="15" t="str">
        <x:v>América</x:v>
      </x:c>
      <x:c r="J59" s="15" t="str">
        <x:v>Español</x:v>
      </x:c>
      <x:c r="K59" s="15" t="str">
        <x:v>Consultas técnicas mejor detalladas.</x:v>
      </x:c>
      <x:c r="L59" s="15" t="str">
        <x:v>Base 10/09: No encontré web propia inequívoca</x:v>
      </x:c>
      <x:c r="M59" s="15" t="str">
        <x:v>Revisión del 10/09/2026: INFINITO soluciones informáticas figura con reparación de computadoras e impresoras y recarga de tinta. El directorio muestra teléfono y Facebook; no se encontró una web propia inequívoca. No se confirmaron marcas atendidas, precios ni servicios vigentes.</x:v>
      </x:c>
      <x:c r="N59" s="15" t="str">
        <x:v>Base anterior: revalidar</x:v>
      </x:c>
      <x:c r="O59" s="20" t="n">
        <x:v>46275</x:v>
      </x:c>
      <x:c r="P59" s="22" t="str">
        <x:v>No contactado</x:v>
      </x:c>
      <x:c r="Q59" s="23"/>
      <x:c r="R59" s="23"/>
      <x:c r="S59" s="24" t="str"/>
      <x:c r="T59" s="15" t="str">
        <x:v>GL-012</x:v>
      </x:c>
      <x:c r="U59" s="17"/>
      <x:c r="V59" s="26" t="str">
        <x:v>https://bo.todosnegocios.com/infinito-soluciones-inform%C3%A1ticas-2-2201930</x:v>
      </x:c>
      <x:c r="W59" s="26" t="str"/>
    </x:row>
    <x:row r="60" ht="64" customHeight="1">
      <x:c r="A60" s="15" t="str">
        <x:v>Revalidar</x:v>
      </x:c>
      <x:c r="B60" s="15" t="str">
        <x:v>Dona Sô Restaurante</x:v>
      </x:c>
      <x:c r="C60" s="15" t="str">
        <x:v>Restaurante / buffet</x:v>
      </x:c>
      <x:c r="D60" s="15" t="str">
        <x:v>Brasil</x:v>
      </x:c>
      <x:c r="E60" s="18" t="str">
        <x:v>—</x:v>
      </x:c>
      <x:c r="F60" s="18" t="str">
        <x:v>+55 11 5506-4929 / +55 11 5102-3494</x:v>
      </x:c>
      <x:c r="G60" s="25" t="str">
        <x:v>Llamar</x:v>
      </x:c>
      <x:c r="H60" s="15" t="str">
        <x:v>São Paulo</x:v>
      </x:c>
      <x:c r="I60" s="15" t="str">
        <x:v>América</x:v>
      </x:c>
      <x:c r="J60" s="15" t="str">
        <x:v>Portugués</x:v>
      </x:c>
      <x:c r="K60" s="15" t="str">
        <x:v>Carta de almuerzo y consultas; contacto en portugués.</x:v>
      </x:c>
      <x:c r="L60" s="15" t="str">
        <x:v>Base 10/09: Web actual no confirmada; redes y directorios</x:v>
      </x:c>
      <x:c r="M60" s="15" t="str">
        <x:v>Revisión del 10/09/2026: Dona Sô aparece como restaurante y buffet en Cidade Monções. Las fuentes consultadas muestran atención de almuerzo, entrega y reseñas; el directorio trata el antiguo dominio como histórico. No se auditó una web propia actual. Las opiniones no prueban presupuesto ni interés en contratar.</x:v>
      </x:c>
      <x:c r="N60" s="15" t="str">
        <x:v>Base anterior: revalidar</x:v>
      </x:c>
      <x:c r="O60" s="20" t="n">
        <x:v>46275</x:v>
      </x:c>
      <x:c r="P60" s="22" t="str">
        <x:v>No contactado</x:v>
      </x:c>
      <x:c r="Q60" s="23"/>
      <x:c r="R60" s="23"/>
      <x:c r="S60" s="24" t="str"/>
      <x:c r="T60" s="15" t="str">
        <x:v>GL-027</x:v>
      </x:c>
      <x:c r="U60" s="17"/>
      <x:c r="V60" s="26" t="str">
        <x:v>https://restaurantguru.com/Dona-So-Sao-Paulo</x:v>
      </x:c>
      <x:c r="W60" s="26" t="str">
        <x:v>https://br.todosnegocios.com/pt/dona-s%C3%B4-restaurante-11-5506-4929</x:v>
      </x:c>
    </x:row>
    <x:row r="61" ht="64" customHeight="1">
      <x:c r="A61" s="15" t="str">
        <x:v>Revalidar</x:v>
      </x:c>
      <x:c r="B61" s="15" t="str">
        <x:v>Levels Restaurante</x:v>
      </x:c>
      <x:c r="C61" s="15" t="str">
        <x:v>Restaurante / bar</x:v>
      </x:c>
      <x:c r="D61" s="15" t="str">
        <x:v>Brasil</x:v>
      </x:c>
      <x:c r="E61" s="18" t="str">
        <x:v>—</x:v>
      </x:c>
      <x:c r="F61" s="18" t="str">
        <x:v>+55 11 3167-7773 / +55 11 91346-4100</x:v>
      </x:c>
      <x:c r="G61" s="25" t="str">
        <x:v>Llamar</x:v>
      </x:c>
      <x:c r="H61" s="15" t="str">
        <x:v>São Paulo</x:v>
      </x:c>
      <x:c r="I61" s="15" t="str">
        <x:v>América</x:v>
      </x:c>
      <x:c r="J61" s="15" t="str">
        <x:v>Portugués</x:v>
      </x:c>
      <x:c r="K61" s="15" t="str">
        <x:v>Validar operación antes de proponer reservas.</x:v>
      </x:c>
      <x:c r="L61" s="15" t="str">
        <x:v>Base 10/09: Dominio histórico; operación por validar</x:v>
      </x:c>
      <x:c r="M61" s="15" t="str">
        <x:v>Revisión del 10/09/2026: Levels Restaurante figura en Rua Dr. Mário Ferraz. Las referencias editoriales encontradas son antiguas y el directorio lista un dominio histórico. No se pudo confirmar una web vigente ni operación reciente del mismo negocio. No debe describirse como abierto con certeza.</x:v>
      </x:c>
      <x:c r="N61" s="15" t="str">
        <x:v>Base anterior: revalidar</x:v>
      </x:c>
      <x:c r="O61" s="20" t="n">
        <x:v>46275</x:v>
      </x:c>
      <x:c r="P61" s="22" t="str">
        <x:v>No contactado</x:v>
      </x:c>
      <x:c r="Q61" s="23"/>
      <x:c r="R61" s="23"/>
      <x:c r="S61" s="24" t="str"/>
      <x:c r="T61" s="15" t="str">
        <x:v>GL-028</x:v>
      </x:c>
      <x:c r="U61" s="17"/>
      <x:c r="V61" s="26" t="str">
        <x:v>https://br.todosnegocios.com/pt/levels-restaurante-11-3167-7773</x:v>
      </x:c>
      <x:c r="W61" s="26" t="str"/>
    </x:row>
    <x:row r="62" ht="64" customHeight="1">
      <x:c r="A62" s="15" t="str">
        <x:v>Revalidar</x:v>
      </x:c>
      <x:c r="B62" s="15" t="str">
        <x:v>Bodyworks By Brian J Hoffman</x:v>
      </x:c>
      <x:c r="C62" s="15" t="str">
        <x:v>Taller de carrocería</x:v>
      </x:c>
      <x:c r="D62" s="15" t="str">
        <x:v>Canadá</x:v>
      </x:c>
      <x:c r="E62" s="18" t="str">
        <x:v>—</x:v>
      </x:c>
      <x:c r="F62" s="18" t="str">
        <x:v>+1 519-837-3170</x:v>
      </x:c>
      <x:c r="G62" s="25" t="str">
        <x:v>Llamar</x:v>
      </x:c>
      <x:c r="H62" s="15" t="str">
        <x:v>Guelph/Eramosa, Ontario</x:v>
      </x:c>
      <x:c r="I62" s="15" t="str">
        <x:v>América</x:v>
      </x:c>
      <x:c r="J62" s="15" t="str">
        <x:v>Inglés</x:v>
      </x:c>
      <x:c r="K62" s="15" t="str">
        <x:v>Galería de carrocería y solicitud con fotos.</x:v>
      </x:c>
      <x:c r="L62" s="15" t="str">
        <x:v>Base 10/09: No encontré web propia inequívoca</x:v>
      </x:c>
      <x:c r="M62" s="15" t="str">
        <x:v>Revisión del 10/09/2026: El directorio del condado de Wellington confirma Bodyworks By Brian J Hoffman, el teléfono y la actividad de carrocería/pintura. La dirección es más precisa que la referencia postal de la primera lista. No encontré una web propia inequívoca; las reseñas antiguas no bastan para afirmar ausencia actual.</x:v>
      </x:c>
      <x:c r="N62" s="15" t="str">
        <x:v>Base anterior: revalidar</x:v>
      </x:c>
      <x:c r="O62" s="20" t="n">
        <x:v>46275</x:v>
      </x:c>
      <x:c r="P62" s="22" t="str">
        <x:v>No contactado</x:v>
      </x:c>
      <x:c r="Q62" s="23"/>
      <x:c r="R62" s="23"/>
      <x:c r="S62" s="24" t="str"/>
      <x:c r="T62" s="15" t="str">
        <x:v>GL-030</x:v>
      </x:c>
      <x:c r="U62" s="17"/>
      <x:c r="V62" s="26" t="str">
        <x:v>https://www.wellington.ca/business-development/business-directory/bodyworks-brian-j-hoffman</x:v>
      </x:c>
      <x:c r="W62" s="26" t="str">
        <x:v>https://www.yellowpages.ca/bus/Ontario/Guelph/Bodyworks-By-Brian-J-Hoffman/212034.html</x:v>
      </x:c>
    </x:row>
    <x:row r="63" ht="64" customHeight="1">
      <x:c r="A63" s="15" t="str">
        <x:v>Revalidar</x:v>
      </x:c>
      <x:c r="B63" s="15" t="str">
        <x:v>Mike The Electrician Guy</x:v>
      </x:c>
      <x:c r="C63" s="15" t="str">
        <x:v>Electricista / reformas</x:v>
      </x:c>
      <x:c r="D63" s="15" t="str">
        <x:v>Canadá</x:v>
      </x:c>
      <x:c r="E63" s="18" t="str">
        <x:v>—</x:v>
      </x:c>
      <x:c r="F63" s="18" t="str">
        <x:v>+1 647-568-4800</x:v>
      </x:c>
      <x:c r="G63" s="25" t="str">
        <x:v>Llamar</x:v>
      </x:c>
      <x:c r="H63" s="15" t="str">
        <x:v>Toronto / GTA</x:v>
      </x:c>
      <x:c r="I63" s="15" t="str">
        <x:v>América</x:v>
      </x:c>
      <x:c r="J63" s="15" t="str">
        <x:v>Inglés</x:v>
      </x:c>
      <x:c r="K63" s="15" t="str">
        <x:v>Servicios y presupuesto, solo si busca más trabajos.</x:v>
      </x:c>
      <x:c r="L63" s="15" t="str">
        <x:v>Base 10/09: No encontré web propia inequívoca</x:v>
      </x:c>
      <x:c r="M63" s="15" t="str">
        <x:v>Revisión del 10/09/2026: Mike The Electrician Guy aparece con teléfono y área de servicio en Toronto/GTA. Una reseña de 2024 menciona que no tenía web; no es evidencia reciente en septiembre de 2026. La búsqueda no encontró una web propia clara, pero debe preguntarse antes de ofrecer crearla.</x:v>
      </x:c>
      <x:c r="N63" s="15" t="str">
        <x:v>Base anterior: revalidar</x:v>
      </x:c>
      <x:c r="O63" s="20" t="n">
        <x:v>46275</x:v>
      </x:c>
      <x:c r="P63" s="22" t="str">
        <x:v>No contactado</x:v>
      </x:c>
      <x:c r="Q63" s="23"/>
      <x:c r="R63" s="23"/>
      <x:c r="S63" s="24" t="str"/>
      <x:c r="T63" s="15" t="str">
        <x:v>GL-029</x:v>
      </x:c>
      <x:c r="U63" s="17"/>
      <x:c r="V63" s="26" t="str">
        <x:v>https://www.canpages.ca/page/ON/mike-the-electrician-guy/104333267</x:v>
      </x:c>
      <x:c r="W63" s="26" t="str">
        <x:v>https://www.yellowpages.ca/bus/Canada/Mike-The-Electrician-Guy/104333267.html</x:v>
      </x:c>
    </x:row>
    <x:row r="64" ht="64" customHeight="1">
      <x:c r="A64" s="15" t="str">
        <x:v>Revalidar</x:v>
      </x:c>
      <x:c r="B64" s="15" t="str">
        <x:v>Gimnasio Club Free Sport</x:v>
      </x:c>
      <x:c r="C64" s="15" t="str">
        <x:v>Gimnasio</x:v>
      </x:c>
      <x:c r="D64" s="15" t="str">
        <x:v>Chile</x:v>
      </x:c>
      <x:c r="E64" s="18" t="str">
        <x:v>gimnasio.freesport@gmail.com</x:v>
      </x:c>
      <x:c r="F64" s="18" t="str">
        <x:v>+56 9 6271 7988</x:v>
      </x:c>
      <x:c r="G64" s="25" t="str">
        <x:v>Enviar email</x:v>
      </x:c>
      <x:c r="H64" s="15" t="str">
        <x:v>San Miguel</x:v>
      </x:c>
      <x:c r="I64" s="15" t="str">
        <x:v>América</x:v>
      </x:c>
      <x:c r="J64" s="15" t="str">
        <x:v>Español</x:v>
      </x:c>
      <x:c r="K64" s="15" t="str">
        <x:v>Planes y consulta de inscripción para el gimnasio.</x:v>
      </x:c>
      <x:c r="L64" s="15" t="str">
        <x:v>Base 10/09: No encontré web propia inequívoca</x:v>
      </x:c>
      <x:c r="M64" s="15" t="str">
        <x:v>Revisión del 10/09/2026: El perfil de Gimnasio Club Free Sport publica dirección en Gran Avenida, contacto y un horario amplio, con Facebook como presencia principal encontrada. No se revisó una web propia ni se confirmó que planes y clases sigan iguales.</x:v>
      </x:c>
      <x:c r="N64" s="15" t="str">
        <x:v>Base anterior: revalidar</x:v>
      </x:c>
      <x:c r="O64" s="20" t="n">
        <x:v>46275</x:v>
      </x:c>
      <x:c r="P64" s="22" t="str">
        <x:v>No contactado</x:v>
      </x:c>
      <x:c r="Q64" s="23"/>
      <x:c r="R64" s="23"/>
      <x:c r="S64" s="24" t="str"/>
      <x:c r="T64" s="15" t="str">
        <x:v>GL-007</x:v>
      </x:c>
      <x:c r="U64" s="17"/>
      <x:c r="V64" s="26" t="str">
        <x:v>https://cl.todosnegocios.com/gimnasio-club-free-sport-9-6271-7988</x:v>
      </x:c>
      <x:c r="W64" s="26" t="str"/>
    </x:row>
    <x:row r="65" ht="64" customHeight="1">
      <x:c r="A65" s="15" t="str">
        <x:v>Revalidar</x:v>
      </x:c>
      <x:c r="B65" s="15" t="str">
        <x:v>Niñolandia</x:v>
      </x:c>
      <x:c r="C65" s="15" t="str">
        <x:v>Juguetería</x:v>
      </x:c>
      <x:c r="D65" s="15" t="str">
        <x:v>Colombia</x:v>
      </x:c>
      <x:c r="E65" s="18" t="str">
        <x:v>supermarketninolandia@hotmail.com</x:v>
      </x:c>
      <x:c r="F65" s="18" t="str">
        <x:v>+57 604 512 1421</x:v>
      </x:c>
      <x:c r="G65" s="25" t="str">
        <x:v>Enviar email</x:v>
      </x:c>
      <x:c r="H65" s="15" t="str">
        <x:v>Medellín</x:v>
      </x:c>
      <x:c r="I65" s="15" t="str">
        <x:v>América</x:v>
      </x:c>
      <x:c r="J65" s="15" t="str">
        <x:v>Español</x:v>
      </x:c>
      <x:c r="K65" s="15" t="str">
        <x:v>Catálogo de juguetes por edad, empezando pequeño.</x:v>
      </x:c>
      <x:c r="L65" s="15" t="str">
        <x:v>Base 10/09: Dominio anterior citado; estado no confirmado</x:v>
      </x:c>
      <x:c r="M65" s="15" t="str">
        <x:v>Revisión del 10/09/2026: Niñolandia aparece como juguetería en Tenerife 45A-33, Medellín, en varias fuentes. El directorio referencia ninolandia.co como histórico; no pude inspeccionar ese dominio. La búsqueda no permite afirmar que hoy carece de toda web. No se confirmó un WhatsApp oficial.</x:v>
      </x:c>
      <x:c r="N65" s="15" t="str">
        <x:v>Base anterior: revalidar</x:v>
      </x:c>
      <x:c r="O65" s="20" t="n">
        <x:v>46275</x:v>
      </x:c>
      <x:c r="P65" s="22" t="str">
        <x:v>No contactado</x:v>
      </x:c>
      <x:c r="Q65" s="23"/>
      <x:c r="R65" s="23"/>
      <x:c r="S65" s="24" t="str"/>
      <x:c r="T65" s="15" t="str">
        <x:v>GL-015</x:v>
      </x:c>
      <x:c r="U65" s="17"/>
      <x:c r="V65" s="26" t="str">
        <x:v>https://directoriomedellin.com.co/medellin/comercio/ninolandia/</x:v>
      </x:c>
      <x:c r="W65" s="26" t="str">
        <x:v>https://co.todosnegocios.com/ni%C3%B1olandia</x:v>
      </x:c>
    </x:row>
    <x:row r="66" ht="64" customHeight="1">
      <x:c r="A66" s="15" t="str">
        <x:v>Revalidar</x:v>
      </x:c>
      <x:c r="B66" s="15" t="str">
        <x:v>Paellas a Domicilio Medellín</x:v>
      </x:c>
      <x:c r="C66" s="15" t="str">
        <x:v>Comida a domicilio</x:v>
      </x:c>
      <x:c r="D66" s="15" t="str">
        <x:v>Colombia</x:v>
      </x:c>
      <x:c r="E66" s="18" t="str">
        <x:v>paellasadomiciliomedellin@gmail.com</x:v>
      </x:c>
      <x:c r="F66" s="18" t="str">
        <x:v>+57 315 4396749</x:v>
      </x:c>
      <x:c r="G66" s="25" t="str">
        <x:v>Enviar email</x:v>
      </x:c>
      <x:c r="H66" s="15" t="str">
        <x:v>Medellín</x:v>
      </x:c>
      <x:c r="I66" s="15" t="str">
        <x:v>América</x:v>
      </x:c>
      <x:c r="J66" s="15" t="str">
        <x:v>Español</x:v>
      </x:c>
      <x:c r="K66" s="15" t="str">
        <x:v>Validar actividad; luego, pedidos por fecha y personas.</x:v>
      </x:c>
      <x:c r="L66" s="15" t="str">
        <x:v>Dominio histórico; actividad actual por confirmar.</x:v>
      </x:c>
      <x:c r="M66" s="15" t="str">
        <x:v>El directorio publica email y móvil, y referencia paellasadomiciliomedellin.com como histórico. Confirmar que siga recibiendo pedidos.</x:v>
      </x:c>
      <x:c r="N66" s="15" t="str">
        <x:v>Directorio consultado</x:v>
      </x:c>
      <x:c r="O66" s="20" t="n">
        <x:v>46288</x:v>
      </x:c>
      <x:c r="P66" s="22" t="str">
        <x:v>No contactado</x:v>
      </x:c>
      <x:c r="Q66" s="23"/>
      <x:c r="R66" s="23"/>
      <x:c r="S66" s="24" t="str"/>
      <x:c r="T66" s="15" t="str">
        <x:v>GL-016</x:v>
      </x:c>
      <x:c r="U66" s="17"/>
      <x:c r="V66" s="26" t="str">
        <x:v>https://co.todosnegocios.com/paellas-a-domicilio-medell%C3%ADn-315-4396749</x:v>
      </x:c>
      <x:c r="W66" s="26" t="str"/>
    </x:row>
    <x:row r="67" ht="64" customHeight="1">
      <x:c r="A67" s="15" t="str">
        <x:v>Revalidar</x:v>
      </x:c>
      <x:c r="B67" s="15" t="str">
        <x:v>Cyber Bodega</x:v>
      </x:c>
      <x:c r="C67" s="15" t="str">
        <x:v>Comercio / servicios; confirmar especialidad</x:v>
      </x:c>
      <x:c r="D67" s="15" t="str">
        <x:v>Costa Rica</x:v>
      </x:c>
      <x:c r="E67" s="18" t="str">
        <x:v>—</x:v>
      </x:c>
      <x:c r="F67" s="18" t="str">
        <x:v>+506 2290-3350</x:v>
      </x:c>
      <x:c r="G67" s="25" t="str">
        <x:v>Llamar</x:v>
      </x:c>
      <x:c r="H67" s="15" t="str">
        <x:v>San José</x:v>
      </x:c>
      <x:c r="I67" s="15" t="str">
        <x:v>América</x:v>
      </x:c>
      <x:c r="J67" s="15" t="str">
        <x:v>Español</x:v>
      </x:c>
      <x:c r="K67" s="15" t="str">
        <x:v>Validar rubro antes de ofrecer una solución.</x:v>
      </x:c>
      <x:c r="L67" s="15" t="str">
        <x:v>Base 10/09: Sin web confirmada; rubro por precisar</x:v>
      </x:c>
      <x:c r="M67" s="15" t="str">
        <x:v>Revisión del 10/09/2026: Cyber Bodega figura en San José, pero el directorio mezcla categorías de comercio y servicios. No hay base suficiente para presentarlo como una tienda exclusivamente de electrónica. No se identificó una web propia inequívoca ni una oferta actual clara.</x:v>
      </x:c>
      <x:c r="N67" s="15" t="str">
        <x:v>Base anterior: revalidar</x:v>
      </x:c>
      <x:c r="O67" s="20" t="n">
        <x:v>46275</x:v>
      </x:c>
      <x:c r="P67" s="22" t="str">
        <x:v>No contactado</x:v>
      </x:c>
      <x:c r="Q67" s="23"/>
      <x:c r="R67" s="23"/>
      <x:c r="S67" s="24" t="str"/>
      <x:c r="T67" s="15" t="str">
        <x:v>GL-020</x:v>
      </x:c>
      <x:c r="U67" s="17"/>
      <x:c r="V67" s="26" t="str">
        <x:v>https://es.cybo.com/CR-biz/cyber-bodega</x:v>
      </x:c>
      <x:c r="W67" s="26" t="str"/>
    </x:row>
    <x:row r="68" ht="64" customHeight="1">
      <x:c r="A68" s="15" t="str">
        <x:v>Revalidar</x:v>
      </x:c>
      <x:c r="B68" s="15" t="str">
        <x:v>VetMovil.ecu</x:v>
      </x:c>
      <x:c r="C68" s="15" t="str">
        <x:v>Veterinaria; posible especialidad en traumatología</x:v>
      </x:c>
      <x:c r="D68" s="15" t="str">
        <x:v>Ecuador</x:v>
      </x:c>
      <x:c r="E68" s="18" t="str">
        <x:v>vetmovil.ecu@gmail.com</x:v>
      </x:c>
      <x:c r="F68" s="18" t="str">
        <x:v>+593 98 4389221</x:v>
      </x:c>
      <x:c r="G68" s="25" t="str">
        <x:v>Enviar email</x:v>
      </x:c>
      <x:c r="H68" s="15" t="str">
        <x:v>Quito</x:v>
      </x:c>
      <x:c r="I68" s="15" t="str">
        <x:v>América</x:v>
      </x:c>
      <x:c r="J68" s="15" t="str">
        <x:v>Español</x:v>
      </x:c>
      <x:c r="K68" s="15" t="str">
        <x:v>Validar especialidad y proponer citas veterinarias.</x:v>
      </x:c>
      <x:c r="L68" s="15" t="str">
        <x:v>Dos teléfonos para el mismo nombre y email.</x:v>
      </x:c>
      <x:c r="M68" s="15" t="str">
        <x:v>Dos fichas muestran 098 438 9221 y 098 786 9206 con el mismo correo. Empezar por email y confirmar sede, teléfono y especialidad.</x:v>
      </x:c>
      <x:c r="N68" s="15" t="str">
        <x:v>Índice de directorio</x:v>
      </x:c>
      <x:c r="O68" s="20" t="n">
        <x:v>46288</x:v>
      </x:c>
      <x:c r="P68" s="22" t="str">
        <x:v>No contactado</x:v>
      </x:c>
      <x:c r="Q68" s="23"/>
      <x:c r="R68" s="23"/>
      <x:c r="S68" s="24" t="str"/>
      <x:c r="T68" s="15" t="str">
        <x:v>GL-013</x:v>
      </x:c>
      <x:c r="U68" s="17"/>
      <x:c r="V68" s="26" t="str">
        <x:v>https://ec.todosnegocios.com/traumatolog%C3%ADa-y-ortopedia-veterinaria-098-438-9221</x:v>
      </x:c>
      <x:c r="W68" s="26" t="str">
        <x:v>https://ec.todosnegocios.com/vetm-u-f-vil-ecu-098-786-9206</x:v>
      </x:c>
    </x:row>
    <x:row r="69" ht="64" customHeight="1">
      <x:c r="A69" s="15" t="str">
        <x:v>Revalidar</x:v>
      </x:c>
      <x:c r="B69" s="15" t="str">
        <x:v>Bortan Fabrics Inc</x:v>
      </x:c>
      <x:c r="C69" s="15" t="str">
        <x:v>Tienda de telas</x:v>
      </x:c>
      <x:c r="D69" s="15" t="str">
        <x:v>Estados Unidos</x:v>
      </x:c>
      <x:c r="E69" s="18" t="str">
        <x:v>—</x:v>
      </x:c>
      <x:c r="F69" s="18" t="str">
        <x:v>+1 305-751-4550</x:v>
      </x:c>
      <x:c r="G69" s="25" t="str">
        <x:v>Llamar</x:v>
      </x:c>
      <x:c r="H69" s="15" t="str">
        <x:v>Miami</x:v>
      </x:c>
      <x:c r="I69" s="15" t="str">
        <x:v>América</x:v>
      </x:c>
      <x:c r="J69" s="15" t="str">
        <x:v>Inglés</x:v>
      </x:c>
      <x:c r="K69" s="15" t="str">
        <x:v>Galería de telas y consultas de disponibilidad.</x:v>
      </x:c>
      <x:c r="L69" s="15" t="str">
        <x:v>Base 10/09: No encontré web propia inequívoca</x:v>
      </x:c>
      <x:c r="M69" s="15" t="str">
        <x:v>Revisión del 10/09/2026: Bortan Fabrics Inc aparece con el mismo teléfono y dirección en directorios de Miami. El enlace de sitio en Yellow Pages no identifica una web propia. La reseña sobre ausencia de web es antigua y no se usa como prueba actual. No se revisó un catálogo oficial.</x:v>
      </x:c>
      <x:c r="N69" s="15" t="str">
        <x:v>Base anterior: revalidar</x:v>
      </x:c>
      <x:c r="O69" s="20" t="n">
        <x:v>46275</x:v>
      </x:c>
      <x:c r="P69" s="22" t="str">
        <x:v>No contactado</x:v>
      </x:c>
      <x:c r="Q69" s="23"/>
      <x:c r="R69" s="23"/>
      <x:c r="S69" s="24" t="str"/>
      <x:c r="T69" s="15" t="str">
        <x:v>GL-031</x:v>
      </x:c>
      <x:c r="U69" s="17"/>
      <x:c r="V69" s="26" t="str">
        <x:v>https://www.loc8nearme.com/florida/miami/bortan-fabrics-inc/8406682/</x:v>
      </x:c>
      <x:c r="W69" s="26" t="str">
        <x:v>https://www.yellowpages.com/miami-fl/mip/bortan-fabrics-inc-6622535</x:v>
      </x:c>
    </x:row>
    <x:row r="70" ht="64" customHeight="1">
      <x:c r="A70" s="15" t="str">
        <x:v>Revalidar</x:v>
      </x:c>
      <x:c r="B70" s="15" t="str">
        <x:v>Strong Plumbing</x:v>
      </x:c>
      <x:c r="C70" s="15" t="str">
        <x:v>Plomería</x:v>
      </x:c>
      <x:c r="D70" s="15" t="str">
        <x:v>Estados Unidos</x:v>
      </x:c>
      <x:c r="E70" s="18" t="str">
        <x:v>—</x:v>
      </x:c>
      <x:c r="F70" s="18" t="str">
        <x:v>+1 305-271-1777</x:v>
      </x:c>
      <x:c r="G70" s="25" t="str">
        <x:v>Llamar</x:v>
      </x:c>
      <x:c r="H70" s="15" t="str">
        <x:v>Miami</x:v>
      </x:c>
      <x:c r="I70" s="15" t="str">
        <x:v>América</x:v>
      </x:c>
      <x:c r="J70" s="15" t="str">
        <x:v>Inglés</x:v>
      </x:c>
      <x:c r="K70" s="15" t="str">
        <x:v>Confirmar operación antes de cualquier propuesta.</x:v>
      </x:c>
      <x:c r="L70" s="15" t="str">
        <x:v>Base 10/09: Actividad actual pendiente de confirmar</x:v>
      </x:c>
      <x:c r="M70" s="15" t="str">
        <x:v>Revisión del 10/09/2026: Strong Plumbing aparece en directorios de Miami sin un sitio propio claramente identificado. Una fuente secundaria sobre contratistas contiene una alerta sobre el estado de una licencia; no se verificó en un registro oficial. No se puede concluir que opere, haya cerrado o carezca de habilitación.</x:v>
      </x:c>
      <x:c r="N70" s="15" t="str">
        <x:v>Base anterior: revalidar</x:v>
      </x:c>
      <x:c r="O70" s="20" t="n">
        <x:v>46275</x:v>
      </x:c>
      <x:c r="P70" s="22" t="str">
        <x:v>No contactado</x:v>
      </x:c>
      <x:c r="Q70" s="23"/>
      <x:c r="R70" s="23"/>
      <x:c r="S70" s="24" t="str"/>
      <x:c r="T70" s="15" t="str">
        <x:v>GL-032</x:v>
      </x:c>
      <x:c r="U70" s="17"/>
      <x:c r="V70" s="26" t="str">
        <x:v>https://www.buildzoom.com/contractor/strong-plumbing-llc</x:v>
      </x:c>
      <x:c r="W70" s="26" t="str">
        <x:v>https://www.yellowpages.com/miami-fl/mip/strong-plumbing-6322784</x:v>
      </x:c>
    </x:row>
    <x:row r="71" ht="64" customHeight="1">
      <x:c r="A71" s="15" t="str">
        <x:v>Revalidar</x:v>
      </x:c>
      <x:c r="B71" s="15" t="str">
        <x:v>El Pueblito</x:v>
      </x:c>
      <x:c r="C71" s="15" t="str">
        <x:v>Centro comercial de ropa al por mayor</x:v>
      </x:c>
      <x:c r="D71" s="15" t="str">
        <x:v>Guatemala</x:v>
      </x:c>
      <x:c r="E71" s="18" t="str">
        <x:v>—</x:v>
      </x:c>
      <x:c r="F71" s="18" t="str">
        <x:v>+502 4646 4607 / +502 4063 6305</x:v>
      </x:c>
      <x:c r="G71" s="25" t="str">
        <x:v>Llamar</x:v>
      </x:c>
      <x:c r="H71" s="15" t="str">
        <x:v>Ciudad de Guatemala</x:v>
      </x:c>
      <x:c r="I71" s="15" t="str">
        <x:v>América</x:v>
      </x:c>
      <x:c r="J71" s="15" t="str">
        <x:v>Español</x:v>
      </x:c>
      <x:c r="K71" s="15" t="str">
        <x:v>Directorio de locales, solo con administración identificada.</x:v>
      </x:c>
      <x:c r="L71" s="15" t="str">
        <x:v>Base 10/09: Centro comercial; decisor por identificar</x:v>
      </x:c>
      <x:c r="M71" s="15" t="str">
        <x:v>Revisión del 10/09/2026: El Pueblito de zona 1 es un centro comercial asociado a ropa al por mayor, no un restaurante ni una única tienda. Las referencias coinciden en ubicación y contactos. No se identificó una web propia clara, pero una sola persona podría no decidir por todos los locales.</x:v>
      </x:c>
      <x:c r="N71" s="15" t="str">
        <x:v>Base anterior: revalidar</x:v>
      </x:c>
      <x:c r="O71" s="20" t="n">
        <x:v>46275</x:v>
      </x:c>
      <x:c r="P71" s="22" t="str">
        <x:v>No contactado</x:v>
      </x:c>
      <x:c r="Q71" s="23"/>
      <x:c r="R71" s="23"/>
      <x:c r="S71" s="24" t="str"/>
      <x:c r="T71" s="15" t="str">
        <x:v>GL-023</x:v>
      </x:c>
      <x:c r="U71" s="17"/>
      <x:c r="V71" s="26" t="str">
        <x:v>https://guate502.com/d/el-pueblito-zona-1-ciudad-de-guatemala/</x:v>
      </x:c>
      <x:c r="W71" s="26" t="str">
        <x:v>https://es.cybo.com/GT-biz/el-pueblito</x:v>
      </x:c>
    </x:row>
    <x:row r="72" ht="64" customHeight="1">
      <x:c r="A72" s="15" t="str">
        <x:v>Revalidar</x:v>
      </x:c>
      <x:c r="B72" s="15" t="str">
        <x:v>Restaurante El Montuno</x:v>
      </x:c>
      <x:c r="C72" s="15" t="str">
        <x:v>Restaurante</x:v>
      </x:c>
      <x:c r="D72" s="15" t="str">
        <x:v>Panamá</x:v>
      </x:c>
      <x:c r="E72" s="18" t="str">
        <x:v>—</x:v>
      </x:c>
      <x:c r="F72" s="18" t="str">
        <x:v>+507 224-9720 / +507 224-1316</x:v>
      </x:c>
      <x:c r="G72" s="25" t="str">
        <x:v>Llamar</x:v>
      </x:c>
      <x:c r="H72" s="15" t="str">
        <x:v>Ciudad de Panamá</x:v>
      </x:c>
      <x:c r="I72" s="15" t="str">
        <x:v>América</x:v>
      </x:c>
      <x:c r="J72" s="15" t="str">
        <x:v>Español</x:v>
      </x:c>
      <x:c r="K72" s="15" t="str">
        <x:v>Carta digital, ubicación y consultas de pedidos.</x:v>
      </x:c>
      <x:c r="L72" s="15" t="str">
        <x:v>Base 10/09: No encontré web propia inequívoca</x:v>
      </x:c>
      <x:c r="M72" s="15" t="str">
        <x:v>Revisión del 10/09/2026: El Montuno de Vía Cincuentenario aparece en varias guías y en Facebook con el mismo teléfono. La presencia encontrada permite ubicar el restaurante, pero no se identificó una carta web propia. Horarios, menú y entrega deben confirmarse antes de publicarlos.</x:v>
      </x:c>
      <x:c r="N72" s="15" t="str">
        <x:v>Base anterior: revalidar</x:v>
      </x:c>
      <x:c r="O72" s="20" t="n">
        <x:v>46275</x:v>
      </x:c>
      <x:c r="P72" s="22" t="str">
        <x:v>No contactado</x:v>
      </x:c>
      <x:c r="Q72" s="23"/>
      <x:c r="R72" s="23"/>
      <x:c r="S72" s="24" t="str"/>
      <x:c r="T72" s="15" t="str">
        <x:v>GL-022</x:v>
      </x:c>
      <x:c r="U72" s="17"/>
      <x:c r="V72" s="26" t="str">
        <x:v>https://www.facebook.com/pages/Restaurante-El-Montuno/247339918639676</x:v>
      </x:c>
      <x:c r="W72" s="26" t="str">
        <x:v>https://es.cybo.com/PA-biz/restaurante-el-montuno</x:v>
      </x:c>
    </x:row>
    <x:row r="73" ht="64" customHeight="1">
      <x:c r="A73" s="15" t="str">
        <x:v>Revalidar</x:v>
      </x:c>
      <x:c r="B73" s="15" t="str">
        <x:v>Colegio Nuestra Señora de la Asunción</x:v>
      </x:c>
      <x:c r="C73" s="15" t="str">
        <x:v>Colegio</x:v>
      </x:c>
      <x:c r="D73" s="15" t="str">
        <x:v>Paraguay</x:v>
      </x:c>
      <x:c r="E73" s="18" t="str">
        <x:v>—</x:v>
      </x:c>
      <x:c r="F73" s="18" t="str">
        <x:v>+595 21 290 917</x:v>
      </x:c>
      <x:c r="G73" s="25" t="str">
        <x:v>Llamar</x:v>
      </x:c>
      <x:c r="H73" s="15" t="str">
        <x:v>Asunción</x:v>
      </x:c>
      <x:c r="I73" s="15" t="str">
        <x:v>América</x:v>
      </x:c>
      <x:c r="J73" s="15" t="str">
        <x:v>Español</x:v>
      </x:c>
      <x:c r="K73" s="15" t="str">
        <x:v>Confirmar institución y ofrecer página de admisiones.</x:v>
      </x:c>
      <x:c r="L73" s="15" t="str">
        <x:v>Base 10/09: No encontré web propia inequívoca</x:v>
      </x:c>
      <x:c r="M73" s="15" t="str">
        <x:v>Revisión del 10/09/2026: El colegio de Venezuela y Sargento Gauto aparece en un directorio con teléfono y Facebook. Existen instituciones con nombres similares; no se les atribuyeron sus sitios. No se pudo confirmar una web propia para esta sede ni su oferta educativa vigente.</x:v>
      </x:c>
      <x:c r="N73" s="15" t="str">
        <x:v>Base anterior: revalidar</x:v>
      </x:c>
      <x:c r="O73" s="20" t="n">
        <x:v>46275</x:v>
      </x:c>
      <x:c r="P73" s="22" t="str">
        <x:v>No contactado</x:v>
      </x:c>
      <x:c r="Q73" s="23"/>
      <x:c r="R73" s="23"/>
      <x:c r="S73" s="24" t="str"/>
      <x:c r="T73" s="15" t="str">
        <x:v>GL-005</x:v>
      </x:c>
      <x:c r="U73" s="17"/>
      <x:c r="V73" s="26" t="str">
        <x:v>https://py.todosnegocios.com/colegio-nuestra-se%C3%B1ora-de-la-asunci%C3%B3n_4W-021-290-917</x:v>
      </x:c>
      <x:c r="W73" s="26" t="str"/>
    </x:row>
    <x:row r="74" ht="64" customHeight="1">
      <x:c r="A74" s="15" t="str">
        <x:v>Revalidar</x:v>
      </x:c>
      <x:c r="B74" s="15" t="str">
        <x:v>Arthur Restaurant</x:v>
      </x:c>
      <x:c r="C74" s="15" t="str">
        <x:v>Restaurante</x:v>
      </x:c>
      <x:c r="D74" s="15" t="str">
        <x:v>Perú</x:v>
      </x:c>
      <x:c r="E74" s="18" t="str">
        <x:v>—</x:v>
      </x:c>
      <x:c r="F74" s="18" t="str">
        <x:v>+51 958 798 514</x:v>
      </x:c>
      <x:c r="G74" s="25" t="str">
        <x:v>Llamar</x:v>
      </x:c>
      <x:c r="H74" s="15" t="str">
        <x:v>Arequipa</x:v>
      </x:c>
      <x:c r="I74" s="15" t="str">
        <x:v>América</x:v>
      </x:c>
      <x:c r="J74" s="15" t="str">
        <x:v>Español</x:v>
      </x:c>
      <x:c r="K74" s="15" t="str">
        <x:v>Validar ubicación y ofrecer carta y reservas bilingües.</x:v>
      </x:c>
      <x:c r="L74" s="15" t="str">
        <x:v>Base 10/09: Dominio anterior citado; estado no confirmado</x:v>
      </x:c>
      <x:c r="M74" s="15" t="str">
        <x:v>Revisión del 10/09/2026: Arthur Restaurant tiene presencia gastronómica y un perfil de Tripadvisor administrado por el negocio. Los directorios discrepan entre Pasaje Violín y Calle Cristal. arthurestaurant.com.pe figura como histórico en una fuente; no pude inspeccionarlo. No se puede declarar que su web está caída.</x:v>
      </x:c>
      <x:c r="N74" s="15" t="str">
        <x:v>Base anterior: revalidar</x:v>
      </x:c>
      <x:c r="O74" s="20" t="n">
        <x:v>46275</x:v>
      </x:c>
      <x:c r="P74" s="22" t="str">
        <x:v>No contactado</x:v>
      </x:c>
      <x:c r="Q74" s="23"/>
      <x:c r="R74" s="23"/>
      <x:c r="S74" s="24" t="str"/>
      <x:c r="T74" s="15" t="str">
        <x:v>GL-010</x:v>
      </x:c>
      <x:c r="U74" s="17"/>
      <x:c r="V74" s="26" t="str">
        <x:v>https://www.tripadvisor.com.pe/Restaurant_Review-g294313-d1993325-Reviews-Arthur_Restaurant-Arequipa_Arequipa_Region.html</x:v>
      </x:c>
      <x:c r="W74" s="26" t="str">
        <x:v>https://pe.todosnegocios.com/arthur-restaurant-958-798-514</x:v>
      </x:c>
    </x:row>
    <x:row r="75" ht="64" customHeight="1">
      <x:c r="A75" s="15" t="str">
        <x:v>Revalidar</x:v>
      </x:c>
      <x:c r="B75" s="15" t="str">
        <x:v>Smartworld</x:v>
      </x:c>
      <x:c r="C75" s="15" t="str">
        <x:v>Celulares / servicio técnico</x:v>
      </x:c>
      <x:c r="D75" s="15" t="str">
        <x:v>República Dominicana</x:v>
      </x:c>
      <x:c r="E75" s="18" t="str">
        <x:v>—</x:v>
      </x:c>
      <x:c r="F75" s="18" t="str">
        <x:v>+1 809-732-9434 / +1 809-452-0601</x:v>
      </x:c>
      <x:c r="G75" s="25" t="str">
        <x:v>Llamar</x:v>
      </x:c>
      <x:c r="H75" s="15" t="str">
        <x:v>Santo Domingo</x:v>
      </x:c>
      <x:c r="I75" s="15" t="str">
        <x:v>América</x:v>
      </x:c>
      <x:c r="J75" s="15" t="str">
        <x:v>Español</x:v>
      </x:c>
      <x:c r="K75" s="15" t="str">
        <x:v>Confirmar sucursal y separar ventas de reparaciones.</x:v>
      </x:c>
      <x:c r="L75" s="15" t="str">
        <x:v>Base 10/09: Sin web confirmada; sede por validar</x:v>
      </x:c>
      <x:c r="M75" s="15" t="str">
        <x:v>Revisión del 10/09/2026: Smartworld aparece asociado a celulares y servicio técnico. Las referencias localizadas no son uniformes sobre su ubicación; algunos datos coinciden por teléfono. No encontré una web propia inequívoca ni pude confirmar el alcance actual de reparación y venta.</x:v>
      </x:c>
      <x:c r="N75" s="15" t="str">
        <x:v>Base anterior: revalidar</x:v>
      </x:c>
      <x:c r="O75" s="20" t="n">
        <x:v>46275</x:v>
      </x:c>
      <x:c r="P75" s="22" t="str">
        <x:v>No contactado</x:v>
      </x:c>
      <x:c r="Q75" s="23"/>
      <x:c r="R75" s="23"/>
      <x:c r="S75" s="24" t="str"/>
      <x:c r="T75" s="15" t="str">
        <x:v>GL-025</x:v>
      </x:c>
      <x:c r="U75" s="17"/>
      <x:c r="V75" s="26" t="str">
        <x:v>https://es.cybo.com/DO-biz/smartworld_1v</x:v>
      </x:c>
      <x:c r="W75" s="26" t="str"/>
    </x:row>
    <x:row r="76" ht="64" customHeight="1">
      <x:c r="A76" s="15" t="str">
        <x:v>Revalidar</x:v>
      </x:c>
      <x:c r="B76" s="15" t="str">
        <x:v>Techno Shop</x:v>
      </x:c>
      <x:c r="C76" s="15" t="str">
        <x:v>Tienda de celulares y tecnología</x:v>
      </x:c>
      <x:c r="D76" s="15" t="str">
        <x:v>República Dominicana</x:v>
      </x:c>
      <x:c r="E76" s="18" t="str">
        <x:v>—</x:v>
      </x:c>
      <x:c r="F76" s="18" t="str">
        <x:v>+1 809-569-0000</x:v>
      </x:c>
      <x:c r="G76" s="25" t="str">
        <x:v>Llamar</x:v>
      </x:c>
      <x:c r="H76" s="15" t="str">
        <x:v>Santo Domingo</x:v>
      </x:c>
      <x:c r="I76" s="15" t="str">
        <x:v>América</x:v>
      </x:c>
      <x:c r="J76" s="15" t="str">
        <x:v>Español</x:v>
      </x:c>
      <x:c r="K76" s="15" t="str">
        <x:v>Corregir portada y botones de una tienda que ya funciona.</x:v>
      </x:c>
      <x:c r="L76" s="15" t="str">
        <x:v>Base 10/09: Web propia revisada: ajustes concretos</x:v>
      </x:c>
      <x:c r="M76" s="15" t="str">
        <x:v>Revisión del 10/09/2026: Sí tiene tienda en technoshop.com.do. La portada conserva texto de plantilla en Serie Ultra; los botones Comprar ahora y Ver todos revisados enlazan al inicio. Los productos sí tienen consultas por WhatsApp. El pie muestra enlaces sociales con destino #. No necesita que le vendas una web desde cero.</x:v>
      </x:c>
      <x:c r="N76" s="15" t="str">
        <x:v>Base anterior: revalidar</x:v>
      </x:c>
      <x:c r="O76" s="20" t="n">
        <x:v>46275</x:v>
      </x:c>
      <x:c r="P76" s="22" t="str">
        <x:v>No contactado</x:v>
      </x:c>
      <x:c r="Q76" s="23"/>
      <x:c r="R76" s="23"/>
      <x:c r="S76" s="24" t="str"/>
      <x:c r="T76" s="15" t="str">
        <x:v>GL-026</x:v>
      </x:c>
      <x:c r="U76" s="17"/>
      <x:c r="V76" s="26" t="str">
        <x:v>https://technoshop.com.do/</x:v>
      </x:c>
      <x:c r="W76" s="26" t="str">
        <x:v>https://es.cybo.com/DO-biz/techno-shop</x:v>
      </x:c>
    </x:row>
    <x:row r="77" ht="64" customHeight="1">
      <x:c r="A77" s="15" t="str">
        <x:v>Revalidar</x:v>
      </x:c>
      <x:c r="B77" s="15" t="str">
        <x:v>Montevideo Hostel</x:v>
      </x:c>
      <x:c r="C77" s="15" t="str">
        <x:v>Hostel / alojamiento</x:v>
      </x:c>
      <x:c r="D77" s="15" t="str">
        <x:v>Uruguay</x:v>
      </x:c>
      <x:c r="E77" s="18" t="str">
        <x:v>mvdhostel@montevideohostel.com.uy</x:v>
      </x:c>
      <x:c r="F77" s="18" t="str">
        <x:v>+598 2908 1324</x:v>
      </x:c>
      <x:c r="G77" s="25" t="str">
        <x:v>Enviar email</x:v>
      </x:c>
      <x:c r="H77" s="15" t="str">
        <x:v>Montevideo</x:v>
      </x:c>
      <x:c r="I77" s="15" t="str">
        <x:v>América</x:v>
      </x:c>
      <x:c r="J77" s="15" t="str">
        <x:v>Español</x:v>
      </x:c>
      <x:c r="K77" s="15" t="str">
        <x:v>Confirmar que opera; luego, consultas de reserva.</x:v>
      </x:c>
      <x:c r="L77" s="15" t="str">
        <x:v>Base 10/09: Dominios históricos; operación por validar</x:v>
      </x:c>
      <x:c r="M77" s="15" t="str">
        <x:v>Revisión del 10/09/2026: Montevideo Hostel aparece en referencias de alojamiento en Canelones 935. Distintas fuentes citan montevideohostel.com y montevideohostel.com.uy; no se pudieron inspeccionar de forma concluyente. Eso no prueba una caída. La actividad actual y la vigencia del correo requieren confirmación.</x:v>
      </x:c>
      <x:c r="N77" s="15" t="str">
        <x:v>Base anterior: revalidar</x:v>
      </x:c>
      <x:c r="O77" s="20" t="n">
        <x:v>46275</x:v>
      </x:c>
      <x:c r="P77" s="22" t="str">
        <x:v>No contactado</x:v>
      </x:c>
      <x:c r="Q77" s="23"/>
      <x:c r="R77" s="23"/>
      <x:c r="S77" s="24" t="str"/>
      <x:c r="T77" s="15" t="str">
        <x:v>GL-004</x:v>
      </x:c>
      <x:c r="U77" s="17"/>
      <x:c r="V77" s="26" t="str">
        <x:v>https://www.fing.edu.uy/paginas/hostels-en-montevideo</x:v>
      </x:c>
      <x:c r="W77" s="26" t="str">
        <x:v>https://uy.todosnegocios.com/montevideo-hostel-2908-1324</x:v>
      </x:c>
    </x:row>
    <x:row r="78" ht="64" customHeight="1">
      <x:c r="A78" s="15" t="str">
        <x:v>Revalidar</x:v>
      </x:c>
      <x:c r="B78" s="15" t="str">
        <x:v>Que Ofertón</x:v>
      </x:c>
      <x:c r="C78" s="15" t="str">
        <x:v>Informática / electrónica</x:v>
      </x:c>
      <x:c r="D78" s="15" t="str">
        <x:v>Uruguay</x:v>
      </x:c>
      <x:c r="E78" s="18" t="str">
        <x:v>—</x:v>
      </x:c>
      <x:c r="F78" s="18" t="str">
        <x:v>+598 98 664 159</x:v>
      </x:c>
      <x:c r="G78" s="25" t="str">
        <x:v>Llamar</x:v>
      </x:c>
      <x:c r="H78" s="15" t="str">
        <x:v>Montevideo</x:v>
      </x:c>
      <x:c r="I78" s="15" t="str">
        <x:v>América</x:v>
      </x:c>
      <x:c r="J78" s="15" t="str">
        <x:v>Español</x:v>
      </x:c>
      <x:c r="K78" s="15" t="str">
        <x:v>Ofertas y consultas por producto; validar dominio.</x:v>
      </x:c>
      <x:c r="L78" s="15" t="str">
        <x:v>Base 10/09: Dominio anterior citado; estado no confirmado</x:v>
      </x:c>
      <x:c r="M78" s="15" t="str">
        <x:v>Revisión del 10/09/2026: Que Ofertón publica productos de tecnología, contacto y redes en el directorio. queoferton.uy aparece como un dominio anterior, pero no se pudo verificar su estado directamente. No está demostrado que el negocio haya abandonado su web ni que carezca de otra.</x:v>
      </x:c>
      <x:c r="N78" s="15" t="str">
        <x:v>Base anterior: revalidar</x:v>
      </x:c>
      <x:c r="O78" s="20" t="n">
        <x:v>46275</x:v>
      </x:c>
      <x:c r="P78" s="22" t="str">
        <x:v>No contactado</x:v>
      </x:c>
      <x:c r="Q78" s="23"/>
      <x:c r="R78" s="23"/>
      <x:c r="S78" s="24" t="str"/>
      <x:c r="T78" s="15" t="str">
        <x:v>GL-003</x:v>
      </x:c>
      <x:c r="U78" s="17"/>
      <x:c r="V78" s="26" t="str">
        <x:v>https://uy.todosnegocios.com/que-ofert%C3%B3n-098-664-159</x:v>
      </x:c>
      <x:c r="W78" s="26" t="str"/>
    </x:row>
    <x:row r="79" ht="64" customHeight="1">
      <x:c r="A79" s="15" t="str">
        <x:v>No priorizar</x:v>
      </x:c>
      <x:c r="B79" s="15" t="str">
        <x:v>Centro de Atención Veterinaria / ExpressVet</x:v>
      </x:c>
      <x:c r="C79" s="15" t="str">
        <x:v>Red privada de clínicas veterinarias</x:v>
      </x:c>
      <x:c r="D79" s="15" t="str">
        <x:v>Ecuador</x:v>
      </x:c>
      <x:c r="E79" s="18" t="str">
        <x:v>—</x:v>
      </x:c>
      <x:c r="F79" s="18" t="str">
        <x:v>Usar el contacto de la sede Centro en la web oficial</x:v>
      </x:c>
      <x:c r="G79" s="25" t="str">
        <x:v>Abrir contacto</x:v>
      </x:c>
      <x:c r="H79" s="15" t="str">
        <x:v>Quito</x:v>
      </x:c>
      <x:c r="I79" s="15" t="str">
        <x:v>América</x:v>
      </x:c>
      <x:c r="J79" s="15" t="str">
        <x:v>Español</x:v>
      </x:c>
      <x:c r="K79" s="15" t="str">
        <x:v>No priorizar: ya cuenta con una web útil.</x:v>
      </x:c>
      <x:c r="L79" s="15" t="str">
        <x:v>Base 10/09: Sí tiene web: no hay brecha clara de rediseño</x:v>
      </x:c>
      <x:c r="M79" s="15" t="str">
        <x:v>Revisión del 10/09/2026: La búsqueda vincula el Centro de Atención Veterinaria y Bienestar Animal con ExpressVet. Su web presenta sedes, servicios, equipo y enlaces de contacto y ubicación. La clasificación anterior como veterinaria pública y sin web era incorrecta. No apareció un defecto claro que justifique venderle un rediseño.</x:v>
      </x:c>
      <x:c r="N79" s="15" t="str">
        <x:v>Base anterior: revalidar</x:v>
      </x:c>
      <x:c r="O79" s="20" t="n">
        <x:v>46275</x:v>
      </x:c>
      <x:c r="P79" s="22" t="str">
        <x:v>No contactado</x:v>
      </x:c>
      <x:c r="Q79" s="23"/>
      <x:c r="R79" s="23"/>
      <x:c r="S79" s="24" t="str"/>
      <x:c r="T79" s="15" t="str">
        <x:v>GL-014</x:v>
      </x:c>
      <x:c r="U79" s="17"/>
      <x:c r="V79" s="26" t="str">
        <x:v>https://www.expressvet.ec/</x:v>
      </x:c>
      <x:c r="W79" s="26" t="str">
        <x:v>https://ec.todosnegocios.com/centro-de-atenci%C3%B3n-veterinaria-y-099-569-9136</x:v>
      </x:c>
    </x:row>
    <x:row r="80" ht="64" customHeight="1">
      <x:c r="A80" s="15" t="str">
        <x:v>No priorizar</x:v>
      </x:c>
      <x:c r="B80" s="15" t="str">
        <x:v>Sabores del Chorrillo</x:v>
      </x:c>
      <x:c r="C80" s="15" t="str">
        <x:v>Complejo gastronómico con varios locales</x:v>
      </x:c>
      <x:c r="D80" s="15" t="str">
        <x:v>Panamá</x:v>
      </x:c>
      <x:c r="E80" s="18" t="str">
        <x:v>—</x:v>
      </x:c>
      <x:c r="F80" s="18" t="str">
        <x:v>+507 6273-9561 (directorio; administración no confirmada)</x:v>
      </x:c>
      <x:c r="G80" s="25" t="str">
        <x:v>Llamar</x:v>
      </x:c>
      <x:c r="H80" s="15" t="str">
        <x:v>Ciudad de Panamá</x:v>
      </x:c>
      <x:c r="I80" s="15" t="str">
        <x:v>América</x:v>
      </x:c>
      <x:c r="J80" s="15" t="str">
        <x:v>Español</x:v>
      </x:c>
      <x:c r="K80" s="15" t="str">
        <x:v>Dejar para una oportunidad institucional bien definida.</x:v>
      </x:c>
      <x:c r="L80" s="15" t="str">
        <x:v>Base 10/09: Complejo institucional; no venta rápida</x:v>
      </x:c>
      <x:c r="M80" s="15" t="str">
        <x:v>Revisión del 10/09/2026: Una publicación oficial de agosto de 2026 describe Sabores del Chorrillo como un espacio con varios negocios y participación municipal. No es un único restaurante. El teléfono de la primera lista no está confirmado como contacto actual de administración ni representa necesariamente a los comerciantes.</x:v>
      </x:c>
      <x:c r="N80" s="15" t="str">
        <x:v>Base anterior: revalidar</x:v>
      </x:c>
      <x:c r="O80" s="20" t="n">
        <x:v>46275</x:v>
      </x:c>
      <x:c r="P80" s="22" t="str">
        <x:v>No contactado</x:v>
      </x:c>
      <x:c r="Q80" s="23"/>
      <x:c r="R80" s="23"/>
      <x:c r="S80" s="24" t="str"/>
      <x:c r="T80" s="15" t="str">
        <x:v>GL-021</x:v>
      </x:c>
      <x:c r="U80" s="17"/>
      <x:c r="V80" s="26" t="str">
        <x:v>https://www.despachoprimeradama.gob.pa/publicacion/primera-dama-visita-sabores-del-chorrillo-para-conocer-su-potencial-gastronomico-turistico-y-valorar-oportunidades-para-su-fortalecimiento-</x:v>
      </x:c>
      <x:c r="W80" s="26" t="str">
        <x:v>https://www.todosbiz.com/PA/sabores-del-chorrillo_3J-6273-9561</x:v>
      </x:c>
    </x:row>
  </x:sheetData>
  <x:conditionalFormatting sqref="A9:A80">
    <x:cfRule type="containsText" dxfId="0" priority="1" operator="containsText" text="Alta"/>
    <x:cfRule type="containsText" dxfId="1" priority="2" operator="containsText" text="Media"/>
    <x:cfRule type="containsText" dxfId="2" priority="3" operator="containsText" text="Revalidar"/>
    <x:cfRule type="containsText" dxfId="3" priority="4" operator="containsText" text="No priorizar"/>
  </x:conditionalFormatting>
  <x:conditionalFormatting sqref="P9:P80">
    <x:cfRule type="containsText" dxfId="4" priority="5" operator="containsText" text="No contactar"/>
  </x:conditionalFormatting>
  <x:dataValidations count="2">
    <x:dataValidation type="list" sqref="A9:A80">
      <x:formula1>"Alta,Media,Revalidar,No priorizar"</x:formula1>
    </x:dataValidation>
    <x:dataValidation type="list" sqref="P9:P80">
      <x:formula1>"No contactado,Contactado,Respondió,Propuesta enviada,Seguimiento,Cliente,No interesado,No contactar"</x:formula1>
    </x:dataValidation>
  </x:dataValidations>
  <x:hyperlinks>
    <x:hyperlink ref="G9" r:id="rIdLeadLink1"/>
    <x:hyperlink ref="V9" r:id="rIdLeadLink2"/>
    <x:hyperlink ref="W9" r:id="rIdLeadLink3"/>
    <x:hyperlink ref="G10" r:id="rIdLeadLink4"/>
    <x:hyperlink ref="V10" r:id="rIdLeadLink5"/>
    <x:hyperlink ref="G11" r:id="rIdLeadLink6"/>
    <x:hyperlink ref="V11" r:id="rIdLeadLink7"/>
    <x:hyperlink ref="G12" r:id="rIdLeadLink8"/>
    <x:hyperlink ref="V12" r:id="rIdLeadLink9"/>
    <x:hyperlink ref="W12" r:id="rIdLeadLink10"/>
    <x:hyperlink ref="G13" r:id="rIdLeadLink11"/>
    <x:hyperlink ref="V13" r:id="rIdLeadLink12"/>
    <x:hyperlink ref="G14" r:id="rIdLeadLink13"/>
    <x:hyperlink ref="V14" r:id="rIdLeadLink14"/>
    <x:hyperlink ref="G15" r:id="rIdLeadLink15"/>
    <x:hyperlink ref="V15" r:id="rIdLeadLink16"/>
    <x:hyperlink ref="G16" r:id="rIdLeadLink17"/>
    <x:hyperlink ref="V16" r:id="rIdLeadLink18"/>
    <x:hyperlink ref="G17" r:id="rIdLeadLink19"/>
    <x:hyperlink ref="V17" r:id="rIdLeadLink20"/>
    <x:hyperlink ref="G18" r:id="rIdLeadLink21"/>
    <x:hyperlink ref="V18" r:id="rIdLeadLink22"/>
    <x:hyperlink ref="G19" r:id="rIdLeadLink23"/>
    <x:hyperlink ref="V19" r:id="rIdLeadLink24"/>
    <x:hyperlink ref="G20" r:id="rIdLeadLink25"/>
    <x:hyperlink ref="V20" r:id="rIdLeadLink26"/>
    <x:hyperlink ref="G21" r:id="rIdLeadLink27"/>
    <x:hyperlink ref="V21" r:id="rIdLeadLink28"/>
    <x:hyperlink ref="G22" r:id="rIdLeadLink29"/>
    <x:hyperlink ref="V22" r:id="rIdLeadLink30"/>
    <x:hyperlink ref="G23" r:id="rIdLeadLink31"/>
    <x:hyperlink ref="V23" r:id="rIdLeadLink32"/>
    <x:hyperlink ref="W23" r:id="rIdLeadLink33"/>
    <x:hyperlink ref="G24" r:id="rIdLeadLink34"/>
    <x:hyperlink ref="V24" r:id="rIdLeadLink35"/>
    <x:hyperlink ref="G25" r:id="rIdLeadLink36"/>
    <x:hyperlink ref="V25" r:id="rIdLeadLink37"/>
    <x:hyperlink ref="G26" r:id="rIdLeadLink38"/>
    <x:hyperlink ref="V26" r:id="rIdLeadLink39"/>
    <x:hyperlink ref="G27" r:id="rIdLeadLink40"/>
    <x:hyperlink ref="V27" r:id="rIdLeadLink41"/>
    <x:hyperlink ref="G28" r:id="rIdLeadLink42"/>
    <x:hyperlink ref="V28" r:id="rIdLeadLink43"/>
    <x:hyperlink ref="G29" r:id="rIdLeadLink44"/>
    <x:hyperlink ref="V29" r:id="rIdLeadLink45"/>
    <x:hyperlink ref="G30" r:id="rIdLeadLink46"/>
    <x:hyperlink ref="V30" r:id="rIdLeadLink47"/>
    <x:hyperlink ref="G31" r:id="rIdLeadLink48"/>
    <x:hyperlink ref="V31" r:id="rIdLeadLink49"/>
    <x:hyperlink ref="G32" r:id="rIdLeadLink50"/>
    <x:hyperlink ref="V32" r:id="rIdLeadLink51"/>
    <x:hyperlink ref="G33" r:id="rIdLeadLink52"/>
    <x:hyperlink ref="V33" r:id="rIdLeadLink53"/>
    <x:hyperlink ref="G34" r:id="rIdLeadLink54"/>
    <x:hyperlink ref="V34" r:id="rIdLeadLink55"/>
    <x:hyperlink ref="G35" r:id="rIdLeadLink56"/>
    <x:hyperlink ref="V35" r:id="rIdLeadLink57"/>
    <x:hyperlink ref="G36" r:id="rIdLeadLink58"/>
    <x:hyperlink ref="V36" r:id="rIdLeadLink59"/>
    <x:hyperlink ref="G37" r:id="rIdLeadLink60"/>
    <x:hyperlink ref="V37" r:id="rIdLeadLink61"/>
    <x:hyperlink ref="G38" r:id="rIdLeadLink62"/>
    <x:hyperlink ref="V38" r:id="rIdLeadLink63"/>
    <x:hyperlink ref="G39" r:id="rIdLeadLink64"/>
    <x:hyperlink ref="V39" r:id="rIdLeadLink65"/>
    <x:hyperlink ref="G40" r:id="rIdLeadLink66"/>
    <x:hyperlink ref="V40" r:id="rIdLeadLink67"/>
    <x:hyperlink ref="G41" r:id="rIdLeadLink68"/>
    <x:hyperlink ref="V41" r:id="rIdLeadLink69"/>
    <x:hyperlink ref="G42" r:id="rIdLeadLink70"/>
    <x:hyperlink ref="V42" r:id="rIdLeadLink71"/>
    <x:hyperlink ref="W42" r:id="rIdLeadLink72"/>
    <x:hyperlink ref="G43" r:id="rIdLeadLink73"/>
    <x:hyperlink ref="V43" r:id="rIdLeadLink74"/>
    <x:hyperlink ref="G44" r:id="rIdLeadLink75"/>
    <x:hyperlink ref="V44" r:id="rIdLeadLink76"/>
    <x:hyperlink ref="G45" r:id="rIdLeadLink77"/>
    <x:hyperlink ref="V45" r:id="rIdLeadLink78"/>
    <x:hyperlink ref="G46" r:id="rIdLeadLink79"/>
    <x:hyperlink ref="V46" r:id="rIdLeadLink80"/>
    <x:hyperlink ref="G47" r:id="rIdLeadLink81"/>
    <x:hyperlink ref="V47" r:id="rIdLeadLink82"/>
    <x:hyperlink ref="G48" r:id="rIdLeadLink83"/>
    <x:hyperlink ref="V48" r:id="rIdLeadLink84"/>
    <x:hyperlink ref="G49" r:id="rIdLeadLink85"/>
    <x:hyperlink ref="V49" r:id="rIdLeadLink86"/>
    <x:hyperlink ref="G50" r:id="rIdLeadLink87"/>
    <x:hyperlink ref="V50" r:id="rIdLeadLink88"/>
    <x:hyperlink ref="G51" r:id="rIdLeadLink89"/>
    <x:hyperlink ref="V51" r:id="rIdLeadLink90"/>
    <x:hyperlink ref="G52" r:id="rIdLeadLink91"/>
    <x:hyperlink ref="V52" r:id="rIdLeadLink92"/>
    <x:hyperlink ref="G53" r:id="rIdLeadLink93"/>
    <x:hyperlink ref="V53" r:id="rIdLeadLink94"/>
    <x:hyperlink ref="G54" r:id="rIdLeadLink95"/>
    <x:hyperlink ref="V54" r:id="rIdLeadLink96"/>
    <x:hyperlink ref="G55" r:id="rIdLeadLink97"/>
    <x:hyperlink ref="V55" r:id="rIdLeadLink98"/>
    <x:hyperlink ref="G56" r:id="rIdLeadLink99"/>
    <x:hyperlink ref="V56" r:id="rIdLeadLink100"/>
    <x:hyperlink ref="G57" r:id="rIdLeadLink101"/>
    <x:hyperlink ref="V57" r:id="rIdLeadLink102"/>
    <x:hyperlink ref="W57" r:id="rIdLeadLink103"/>
    <x:hyperlink ref="G58" r:id="rIdLeadLink104"/>
    <x:hyperlink ref="V58" r:id="rIdLeadLink105"/>
    <x:hyperlink ref="G59" r:id="rIdLeadLink106"/>
    <x:hyperlink ref="V59" r:id="rIdLeadLink107"/>
    <x:hyperlink ref="G60" r:id="rIdLeadLink108"/>
    <x:hyperlink ref="V60" r:id="rIdLeadLink109"/>
    <x:hyperlink ref="W60" r:id="rIdLeadLink110"/>
    <x:hyperlink ref="G61" r:id="rIdLeadLink111"/>
    <x:hyperlink ref="V61" r:id="rIdLeadLink112"/>
    <x:hyperlink ref="G62" r:id="rIdLeadLink113"/>
    <x:hyperlink ref="V62" r:id="rIdLeadLink114"/>
    <x:hyperlink ref="W62" r:id="rIdLeadLink115"/>
    <x:hyperlink ref="G63" r:id="rIdLeadLink116"/>
    <x:hyperlink ref="V63" r:id="rIdLeadLink117"/>
    <x:hyperlink ref="W63" r:id="rIdLeadLink118"/>
    <x:hyperlink ref="G64" r:id="rIdLeadLink119"/>
    <x:hyperlink ref="V64" r:id="rIdLeadLink120"/>
    <x:hyperlink ref="G65" r:id="rIdLeadLink121"/>
    <x:hyperlink ref="V65" r:id="rIdLeadLink122"/>
    <x:hyperlink ref="W65" r:id="rIdLeadLink123"/>
    <x:hyperlink ref="G66" r:id="rIdLeadLink124"/>
    <x:hyperlink ref="V66" r:id="rIdLeadLink125"/>
    <x:hyperlink ref="G67" r:id="rIdLeadLink126"/>
    <x:hyperlink ref="V67" r:id="rIdLeadLink127"/>
    <x:hyperlink ref="G68" r:id="rIdLeadLink128"/>
    <x:hyperlink ref="V68" r:id="rIdLeadLink129"/>
    <x:hyperlink ref="W68" r:id="rIdLeadLink130"/>
    <x:hyperlink ref="G69" r:id="rIdLeadLink131"/>
    <x:hyperlink ref="V69" r:id="rIdLeadLink132"/>
    <x:hyperlink ref="W69" r:id="rIdLeadLink133"/>
    <x:hyperlink ref="G70" r:id="rIdLeadLink134"/>
    <x:hyperlink ref="V70" r:id="rIdLeadLink135"/>
    <x:hyperlink ref="W70" r:id="rIdLeadLink136"/>
    <x:hyperlink ref="G71" r:id="rIdLeadLink137"/>
    <x:hyperlink ref="V71" r:id="rIdLeadLink138"/>
    <x:hyperlink ref="W71" r:id="rIdLeadLink139"/>
    <x:hyperlink ref="G72" r:id="rIdLeadLink140"/>
    <x:hyperlink ref="V72" r:id="rIdLeadLink141"/>
    <x:hyperlink ref="W72" r:id="rIdLeadLink142"/>
    <x:hyperlink ref="G73" r:id="rIdLeadLink143"/>
    <x:hyperlink ref="V73" r:id="rIdLeadLink144"/>
    <x:hyperlink ref="G74" r:id="rIdLeadLink145"/>
    <x:hyperlink ref="V74" r:id="rIdLeadLink146"/>
    <x:hyperlink ref="W74" r:id="rIdLeadLink147"/>
    <x:hyperlink ref="G75" r:id="rIdLeadLink148"/>
    <x:hyperlink ref="V75" r:id="rIdLeadLink149"/>
    <x:hyperlink ref="G76" r:id="rIdLeadLink150"/>
    <x:hyperlink ref="V76" r:id="rIdLeadLink151"/>
    <x:hyperlink ref="W76" r:id="rIdLeadLink152"/>
    <x:hyperlink ref="G77" r:id="rIdLeadLink153"/>
    <x:hyperlink ref="V77" r:id="rIdLeadLink154"/>
    <x:hyperlink ref="W77" r:id="rIdLeadLink155"/>
    <x:hyperlink ref="G78" r:id="rIdLeadLink156"/>
    <x:hyperlink ref="V78" r:id="rIdLeadLink157"/>
    <x:hyperlink ref="G79" r:id="rIdLeadLink158"/>
    <x:hyperlink ref="V79" r:id="rIdLeadLink159"/>
    <x:hyperlink ref="W79" r:id="rIdLeadLink160"/>
    <x:hyperlink ref="G80" r:id="rIdLeadLink161"/>
    <x:hyperlink ref="V80" r:id="rIdLeadLink162"/>
    <x:hyperlink ref="W80" r:id="rIdLeadLink163"/>
  </x:hyperlinks>
  <x:pageMargins left="0.7" right="0.7" top="0.75" bottom="0.75" header="0.3" footer="0.3"/>
  <x:tableParts count="1">
    <x:tablePart r:id="Rf2e67cb6e01f4e29"/>
  </x:tableParts>
</x:worksheet>
</file>

<file path=xl/worksheets/sheet2.xml><?xml version="1.0" encoding="utf-8"?>
<x:worksheet xmlns:x="http://schemas.openxmlformats.org/spreadsheetml/2006/main">
  <x:sheetPr>
    <x:tabColor rgb="FF0F766E"/>
  </x:sheetPr>
  <x:sheetViews>
    <x:sheetView showGridLines="0" workbookViewId="0"/>
  </x:sheetViews>
  <x:sheetFormatPr defaultRowHeight="15"/>
  <x:cols>
    <x:col min="1" max="1" width="21.8799991607666" hidden="0" customWidth="1"/>
    <x:col min="2" max="2" width="30.6299991607666" hidden="0" customWidth="1"/>
    <x:col min="3" max="3" width="57.5" hidden="0" customWidth="1"/>
    <x:col min="4" max="4" width="51.25" hidden="0" customWidth="1"/>
    <x:col min="5" max="5" width="26.25" hidden="0" customWidth="1"/>
    <x:col min="6" max="6" width="3" hidden="0" customWidth="1"/>
    <x:col min="7" max="7" width="20" hidden="0" customWidth="1"/>
    <x:col min="8" max="8" width="22.5" hidden="0" customWidth="1"/>
  </x:cols>
  <x:sheetData>
    <x:row r="1">
      <x:c r="A1" s="2"/>
      <x:c r="B1" s="2"/>
      <x:c r="C1" s="2"/>
      <x:c r="D1" s="2"/>
      <x:c r="E1" s="2"/>
      <x:c r="F1" s="2"/>
      <x:c r="G1" s="2"/>
      <x:c r="H1" s="2"/>
    </x:row>
    <x:row r="2" ht="28" customHeight="1">
      <x:c r="A2" s="3" t="str">
        <x:v>Guía de contacto y mensajes adaptables</x:v>
      </x:c>
      <x:c r="B2" s="3"/>
      <x:c r="C2" s="3"/>
      <x:c r="D2" s="3"/>
      <x:c r="E2" s="3"/>
      <x:c r="F2" s="3"/>
      <x:c r="G2" s="3"/>
      <x:c r="H2" s="3"/>
    </x:row>
    <x:row r="3">
      <x:c r="A3" s="2"/>
      <x:c r="B3" s="2"/>
      <x:c r="C3" s="2"/>
      <x:c r="D3" s="2"/>
      <x:c r="E3" s="2"/>
      <x:c r="F3" s="2"/>
      <x:c r="G3" s="2"/>
      <x:c r="H3" s="2"/>
    </x:row>
    <x:row r="4" ht="48" customHeight="1">
      <x:c r="A4" s="13" t="str">
        <x:v>Uso de la lista</x:v>
      </x:c>
      <x:c r="B4" s="15" t="str">
        <x:v>Empezá por Alta. Confirmá que el negocio reciba propuestas y quién decide. Elegí una sola mejora concreta.</x:v>
      </x:c>
      <x:c r="C4" s="15"/>
      <x:c r="D4" s="15"/>
      <x:c r="E4" s="15"/>
      <x:c r="F4" s="2"/>
      <x:c r="G4" s="2"/>
      <x:c r="H4" s="2"/>
    </x:row>
    <x:row r="5" ht="48" customHeight="1">
      <x:c r="A5" s="13" t="str">
        <x:v>Qué se revisó</x:v>
      </x:c>
      <x:c r="B5" s="15" t="str">
        <x:v>40 negocios nuevos y 10 anteriores con fuentes consultadas el 23/09/2026. Otros 22 conservan la revisión del 10/09 y quedan separados por prioridad.</x:v>
      </x:c>
      <x:c r="C5" s="15"/>
      <x:c r="D5" s="15"/>
      <x:c r="E5" s="15"/>
      <x:c r="F5" s="2"/>
      <x:c r="G5" s="2"/>
      <x:c r="H5" s="2"/>
    </x:row>
    <x:row r="6" ht="48" customHeight="1">
      <x:c r="A6" s="13" t="str">
        <x:v>Alcance</x:v>
      </x:c>
      <x:c r="B6" s="15" t="str">
        <x:v>Página consultada: se leyó la fuente. Índice: se consultó contenido indexado, con apertura directa limitada. Ninguno equivale a contacto probado o interés confirmado.</x:v>
      </x:c>
      <x:c r="C6" s="15"/>
      <x:c r="D6" s="15"/>
      <x:c r="E6" s="15"/>
      <x:c r="F6" s="2"/>
      <x:c r="G6" s="2"/>
      <x:c r="H6" s="2"/>
    </x:row>
    <x:row r="7" ht="48" customHeight="1">
      <x:c r="A7" s="13" t="str">
        <x:v>Prioridades</x:v>
      </x:c>
      <x:c r="B7" s="15" t="str">
        <x:v>Alta: contacto oficial y alcance concreto. Media: encaje posible, confirmar necesidad. Revalidar: actividad o datos pendientes. No priorizar: los 2 casos anteriores de menor encaje.</x:v>
      </x:c>
      <x:c r="C7" s="15"/>
      <x:c r="D7" s="15"/>
      <x:c r="E7" s="15"/>
      <x:c r="F7" s="2"/>
      <x:c r="G7" s="2"/>
      <x:c r="H7" s="2"/>
    </x:row>
    <x:row r="8" ht="48" customHeight="1">
      <x:c r="A8" s="13" t="str">
        <x:v>Contacto</x:v>
      </x:c>
      <x:c r="B8" s="15" t="str">
        <x:v>Email o teléfono comercial publicado. WhatsApp solo cuando la fuente lo identifica. Abrir el enlace no envía mensajes. Idioma sugerido por fuente o mercado.</x:v>
      </x:c>
      <x:c r="C8" s="15"/>
      <x:c r="D8" s="15"/>
      <x:c r="E8" s="15"/>
      <x:c r="F8" s="2"/>
      <x:c r="G8" s="2"/>
      <x:c r="H8" s="2"/>
    </x:row>
    <x:row r="9" ht="48" customHeight="1">
      <x:c r="A9" s="13" t="str">
        <x:v>Seguimiento</x:v>
      </x:c>
      <x:c r="B9" s="15" t="str">
        <x:v>Completá Estado contacto, Último contacto, Próximo seguimiento y Notas (celdas amarillas). Usá el ID para relacionar cada negocio.</x:v>
      </x:c>
      <x:c r="C9" s="15"/>
      <x:c r="D9" s="15"/>
      <x:c r="E9" s="15"/>
      <x:c r="F9" s="2"/>
      <x:c r="G9" s="2"/>
      <x:c r="H9" s="2"/>
    </x:row>
    <x:row r="10" ht="48" customHeight="1">
      <x:c r="A10" s="13" t="str">
        <x:v>Oportunidades</x:v>
      </x:c>
      <x:c r="B10" s="15" t="str">
        <x:v>Las ofertas son hipótesis de TRAZA. Tener web no implica necesitar un rediseño. No afirmar falta de web, cupos o servicios sin confirmación.</x:v>
      </x:c>
      <x:c r="C10" s="15"/>
      <x:c r="D10" s="15"/>
      <x:c r="E10" s="15"/>
      <x:c r="F10" s="2"/>
      <x:c r="G10" s="2"/>
      <x:c r="H10" s="2"/>
    </x:row>
    <x:row r="11" ht="48" customHeight="1">
      <x:c r="A11" s="13" t="str">
        <x:v>Después de responder</x:v>
      </x:c>
      <x:c r="B11" s="15" t="str">
        <x:v>Personalizá con un dato real y enviá una demo del rubro. Registrá el próximo paso; si piden no recibir mensajes, usá No contactar.</x:v>
      </x:c>
      <x:c r="C11" s="15"/>
      <x:c r="D11" s="15"/>
      <x:c r="E11" s="15"/>
      <x:c r="F11" s="2"/>
      <x:c r="G11" s="2"/>
      <x:c r="H11" s="2"/>
    </x:row>
    <x:row r="12">
      <x:c r="A12" s="2"/>
      <x:c r="B12" s="2"/>
      <x:c r="C12" s="2"/>
      <x:c r="D12" s="2"/>
      <x:c r="E12" s="2"/>
      <x:c r="F12" s="2"/>
      <x:c r="G12" s="2"/>
      <x:c r="H12" s="2"/>
    </x:row>
    <x:row r="13">
      <x:c r="A13" s="2"/>
      <x:c r="B13" s="2"/>
      <x:c r="C13" s="2"/>
      <x:c r="D13" s="2"/>
      <x:c r="E13" s="2"/>
      <x:c r="F13" s="2"/>
      <x:c r="G13" s="2"/>
      <x:c r="H13" s="2"/>
    </x:row>
    <x:row r="14" ht="30" customHeight="1">
      <x:c r="A14" s="10" t="str">
        <x:v>Idioma</x:v>
      </x:c>
      <x:c r="B14" s="10" t="str">
        <x:v>Rubro</x:v>
      </x:c>
      <x:c r="C14" s="10" t="str">
        <x:v>Primer mensaje</x:v>
      </x:c>
      <x:c r="D14" s="10" t="str">
        <x:v>Seguimiento</x:v>
      </x:c>
      <x:c r="E14" s="10" t="str">
        <x:v>Personalizar con</x:v>
      </x:c>
      <x:c r="F14" s="2"/>
      <x:c r="G14" s="2"/>
      <x:c r="H14" s="2"/>
    </x:row>
    <x:row r="15" ht="138" customHeight="1">
      <x:c r="A15" s="15" t="str">
        <x:v>Español</x:v>
      </x:c>
      <x:c r="B15" s="15" t="str">
        <x:v>Restaurante / café</x:v>
      </x:c>
      <x:c r="C15" s="15" t="str">
        <x:v>Hola, ¿cómo estás? Vi [NEGOCIO] y me llamó la atención [DETALLE REAL]. Encontré el menú y los datos repartidos entre [RED/DIRECTORIO]. Tengo una demo corta para reunir menú, pedidos y ubicación en un solo enlace: [LINK DEMO]. ¿Te sirve si te muestro cómo quedaría con su marca?</x:v>
      </x:c>
      <x:c r="D15" s="15" t="str">
        <x:v>Hola, retomo esto por si se perdió. La idea sería que desde Google o Instagram una persona vea el menú y consulte/pida en dos pasos. Si no es prioridad ahora, no hay problema.</x:v>
      </x:c>
      <x:c r="E15" s="15" t="str">
        <x:v>Plato destacado, reseña, delivery, horario</x:v>
      </x:c>
      <x:c r="F15" s="2"/>
      <x:c r="G15" s="2"/>
      <x:c r="H15" s="2"/>
    </x:row>
    <x:row r="16" ht="138" customHeight="1">
      <x:c r="A16" s="15" t="str">
        <x:v>Español</x:v>
      </x:c>
      <x:c r="B16" s="15" t="str">
        <x:v>Gimnasio / fitness</x:v>
      </x:c>
      <x:c r="C16" s="15" t="str">
        <x:v>Hola, [NOMBRE]. Vi [NEGOCIO] y [DETALLE REAL]. Preparé una idea de web simple para mostrar planes, horarios y convertir visitas en consultas de inscripción: [LINK DEMO]. ¿Querés que la adapte con sus clases y colores?</x:v>
      </x:c>
      <x:c r="D16" s="15" t="str">
        <x:v>Te escribo una sola vez más: la propuesta busca que quien compara gimnasios encuentre planes, horarios y un botón de consulta sin tener que preguntar todo por mensaje. ¿Tiene sentido para ustedes?</x:v>
      </x:c>
      <x:c r="E16" s="15" t="str">
        <x:v>Clase, plan, horario extendido, reseñas</x:v>
      </x:c>
      <x:c r="F16" s="2"/>
      <x:c r="G16" s="2"/>
      <x:c r="H16" s="2"/>
    </x:row>
    <x:row r="17" ht="138" customHeight="1">
      <x:c r="A17" s="15" t="str">
        <x:v>Español</x:v>
      </x:c>
      <x:c r="B17" s="15" t="str">
        <x:v>Veterinaria</x:v>
      </x:c>
      <x:c r="C17" s="15" t="str">
        <x:v>Hola, ¿cómo estás? Encontré [NEGOCIO] y vi [DETALLE REAL]. Tengo una demo mobile-first para ordenar servicios, horarios, zonas y consultas de turnos: [LINK DEMO]. ¿Te gustaría verla adaptada a la clínica?</x:v>
      </x:c>
      <x:c r="D17" s="15" t="str">
        <x:v>Retomo con una idea concreta: un botón visible para consultar turnos, más servicios y mapa. Si ya lo resolvieron por otro canal, decime y no vuelvo a escribir.</x:v>
      </x:c>
      <x:c r="E17" s="15" t="str">
        <x:v>Servicio móvil, urgencias, cobertura, horario</x:v>
      </x:c>
      <x:c r="F17" s="2"/>
      <x:c r="G17" s="2"/>
      <x:c r="H17" s="2"/>
    </x:row>
    <x:row r="18" ht="138" customHeight="1">
      <x:c r="A18" s="15" t="str">
        <x:v>Español</x:v>
      </x:c>
      <x:c r="B18" s="15" t="str">
        <x:v>Retail / catálogo</x:v>
      </x:c>
      <x:c r="C18" s="15" t="str">
        <x:v>Hola, [NOMBRE]. Vi [NEGOCIO] y [DETALLE REAL]. Noté que los productos se descubren principalmente por [RED/DIRECTORIO]. Tengo una demo de catálogo liviano con categorías y consultas por WhatsApp: [LINK DEMO]. ¿Te muestro cómo quedaría con 8-10 productos reales?</x:v>
      </x:c>
      <x:c r="D18" s="15" t="str">
        <x:v>Paso una última vez: no propongo una tienda compleja, sino un catálogo rápido para que el cliente llegue con una consulta concreta. ¿Te interesa que arme una muestra con sus productos?</x:v>
      </x:c>
      <x:c r="E18" s="15" t="str">
        <x:v>Producto, colección, entrega, reseñas</x:v>
      </x:c>
      <x:c r="F18" s="2"/>
      <x:c r="G18" s="2"/>
      <x:c r="H18" s="2"/>
    </x:row>
    <x:row r="19" ht="138" customHeight="1">
      <x:c r="A19" s="15" t="str">
        <x:v>Español</x:v>
      </x:c>
      <x:c r="B19" s="15" t="str">
        <x:v>Servicio técnico</x:v>
      </x:c>
      <x:c r="C19" s="15" t="str">
        <x:v>Hola, ¿cómo estás? Encontré [NEGOCIO] buscando [SERVICIO] en [CIUDAD]. Una web breve podría mostrar qué reparan, garantías, horarios y permitir pedir turno/cotización desde el celular. Tengo esta demo: [LINK DEMO]. ¿La adapto a sus servicios?</x:v>
      </x:c>
      <x:c r="D19" s="15" t="str">
        <x:v>Retomo con algo puntual: la página puede filtrar consultas y reducir preguntas repetidas sobre modelos, fallas y horarios. Si te sirve, preparo una versión con sus datos.</x:v>
      </x:c>
      <x:c r="E19" s="15" t="str">
        <x:v>Marcas atendidas, garantía, horario, WhatsApp</x:v>
      </x:c>
      <x:c r="F19" s="2"/>
      <x:c r="G19" s="2"/>
      <x:c r="H19" s="2"/>
    </x:row>
    <x:row r="20" ht="138" customHeight="1">
      <x:c r="A20" s="15" t="str">
        <x:v>Español</x:v>
      </x:c>
      <x:c r="B20" s="15" t="str">
        <x:v>Colegio / educación</x:v>
      </x:c>
      <x:c r="C20" s="15" t="str">
        <x:v>Hola, [NOMBRE]. Vi [NEGOCIO] y [DETALLE REAL]. Tengo una demo para centralizar propuesta educativa, admisiones, calendario, ubicación y consultas: [LINK DEMO]. ¿Podría compartirla con la persona que gestiona comunicación o inscripciones?</x:v>
      </x:c>
      <x:c r="D20" s="15" t="str">
        <x:v>Gracias por leer. La idea es facilitar la decisión de las familias y bajar preguntas repetidas en época de inscripción. Si me indicás el contacto correcto, se la envío directamente.</x:v>
      </x:c>
      <x:c r="E20" s="15" t="str">
        <x:v>Nivel educativo, admisiones, calendario</x:v>
      </x:c>
      <x:c r="F20" s="2"/>
      <x:c r="G20" s="2"/>
      <x:c r="H20" s="2"/>
    </x:row>
    <x:row r="21" ht="138" customHeight="1">
      <x:c r="A21" s="15" t="str">
        <x:v>Español</x:v>
      </x:c>
      <x:c r="B21" s="15" t="str">
        <x:v>Eventos / alojamiento</x:v>
      </x:c>
      <x:c r="C21" s="15" t="str">
        <x:v>Hola, ¿cómo estás? Encontré [NEGOCIO] y [DETALLE REAL]. Preparé una idea de página para mostrar espacios/habitaciones, paquetes, disponibilidad y pedir presupuesto o reserva: [LINK DEMO]. ¿Querés que la adapte con fotos y datos reales?</x:v>
      </x:c>
      <x:c r="D21" s="15" t="str">
        <x:v>Retomo brevemente: una galería clara + paquetes + consulta de fecha suele convertir mejor que enviar toda la información manualmente. ¿Les gustaría ver una muestra?</x:v>
      </x:c>
      <x:c r="E21" s="15" t="str">
        <x:v>Capacidad, habitaciones, paquetes, ubicación</x:v>
      </x:c>
      <x:c r="F21" s="2"/>
      <x:c r="G21" s="2"/>
      <x:c r="H21" s="2"/>
    </x:row>
    <x:row r="22" ht="138" customHeight="1">
      <x:c r="A22" s="15" t="str">
        <x:v>Español</x:v>
      </x:c>
      <x:c r="B22" s="15" t="str">
        <x:v>Servicios para el hogar</x:v>
      </x:c>
      <x:c r="C22" s="15" t="str">
        <x:v>Hola, [NOMBRE]. Encontré [NEGOCIO] buscando [SERVICIO] en [CIUDAD]. Tengo una demo sencilla para mostrar servicios, zona de cobertura, trabajos y pedir presupuesto con fotos: [LINK DEMO]. ¿Te sirve si la adapto a su negocio?</x:v>
      </x:c>
      <x:c r="D22" s="15" t="str">
        <x:v>Una última idea: la web puede separar urgencias de presupuestos normales y mostrar confianza antes de la llamada. Si no es el momento, cierro por acá.</x:v>
      </x:c>
      <x:c r="E22" s="15" t="str">
        <x:v>Urgencias, cobertura, años, trabajos</x:v>
      </x:c>
      <x:c r="F22" s="2"/>
      <x:c r="G22" s="2"/>
      <x:c r="H22" s="2"/>
    </x:row>
    <x:row r="23" ht="138" customHeight="1">
      <x:c r="A23" s="15" t="str">
        <x:v>Português</x:v>
      </x:c>
      <x:c r="B23" s="15" t="str">
        <x:v>Restaurante</x:v>
      </x:c>
      <x:c r="C23" s="15" t="str">
        <x:v>Olá! Encontrei o [NEGÓCIO] e gostei de [DETALHE REAL]. Hoje as informações parecem estar distribuídas entre redes e diretórios. Tenho uma demonstração simples para reunir cardápio, delivery, localização e contato: [LINK DEMO]. Posso adaptar com a identidade de vocês?</x:v>
      </x:c>
      <x:c r="D23" s="15" t="str">
        <x:v>Olá! Só retomando: a proposta é facilitar para quem encontra o restaurante no Google ver o cardápio e pedir em poucos passos. Se não for prioridade agora, sem problema.</x:v>
      </x:c>
      <x:c r="E23" s="15" t="str">
        <x:v>Prato, avaliações, delivery, horário</x:v>
      </x:c>
      <x:c r="F23" s="2"/>
      <x:c r="G23" s="2"/>
      <x:c r="H23" s="2"/>
    </x:row>
    <x:row r="24" ht="138" customHeight="1">
      <x:c r="A24" s="15" t="str">
        <x:v>Português</x:v>
      </x:c>
      <x:c r="B24" s="15" t="str">
        <x:v>Serviço local</x:v>
      </x:c>
      <x:c r="C24" s="15" t="str">
        <x:v>Olá, [NOME]. Encontrei o [NEGÓCIO] procurando [SERVIÇO] em [CIDADE]. Uma página curta pode mostrar serviços, área atendida e orçamento pelo celular. Tenho esta demo: [LINK DEMO]. Quer ver uma versão com os dados de vocês?</x:v>
      </x:c>
      <x:c r="D24" s="15" t="str">
        <x:v>Passando uma última vez: a ideia é transformar buscas locais em pedidos de orçamento, sem criar um site complicado. Posso preparar uma amostra curta.</x:v>
      </x:c>
      <x:c r="E24" s="15" t="str">
        <x:v>Área, urgência, anos, avaliações</x:v>
      </x:c>
      <x:c r="F24" s="2"/>
      <x:c r="G24" s="2"/>
      <x:c r="H24" s="2"/>
    </x:row>
    <x:row r="25" ht="138" customHeight="1">
      <x:c r="A25" s="15" t="str">
        <x:v>English</x:v>
      </x:c>
      <x:c r="B25" s="15" t="str">
        <x:v>Local service</x:v>
      </x:c>
      <x:c r="C25" s="15" t="str">
        <x:v>Hi [NAME] — I found [BUSINESS] while looking for [SERVICE] in [CITY], and noticed [REAL DETAIL]. I have a simple mobile-first demo that shows services, coverage and a clear quote request: [DEMO LINK]. Would it be useful if I tailored it to your business?</x:v>
      </x:c>
      <x:c r="D25" s="15" t="str">
        <x:v>Just following up once: the goal is to turn local searches into qualified calls or quote requests without adding admin work. If it is not a priority, no worries.</x:v>
      </x:c>
      <x:c r="E25" s="15" t="str">
        <x:v>Service area, emergency hours, years, reviews</x:v>
      </x:c>
      <x:c r="F25" s="2"/>
      <x:c r="G25" s="2"/>
      <x:c r="H25" s="2"/>
    </x:row>
    <x:row r="26" ht="138" customHeight="1">
      <x:c r="A26" s="15" t="str">
        <x:v>English</x:v>
      </x:c>
      <x:c r="B26" s="15" t="str">
        <x:v>Retail / workshop</x:v>
      </x:c>
      <x:c r="C26" s="15" t="str">
        <x:v>Hi [NAME] — I came across [BUSINESS] and liked [REAL DETAIL]. I have a lightweight website demo for showcasing products/work, location and enquiries: [DEMO LINK]. Would you like to see it adapted with a few real items or before-and-after examples?</x:v>
      </x:c>
      <x:c r="D26" s="15" t="str">
        <x:v>One quick follow-up: this would be a focused showcase, not a complex online store. It can help customers understand the offer before they call. Interested in a sample?</x:v>
      </x:c>
      <x:c r="E26" s="15" t="str">
        <x:v>Product range, craftsmanship, history, photos</x:v>
      </x:c>
      <x:c r="F26" s="2"/>
      <x:c r="G26" s="2"/>
      <x:c r="H26" s="2"/>
    </x:row>
    <x:row r="27" ht="138" customHeight="1">
      <x:c r="A27" s="15" t="str">
        <x:v>Francés</x:v>
      </x:c>
      <x:c r="B27" s="15" t="str">
        <x:v>Servicios / reservas</x:v>
      </x:c>
      <x:c r="C27" s="15" t="str">
        <x:v>Bonjour, équipe de [NEGOCIO]. J’ai vu [DETALLE REAL]. Nous créons des sites et des pages de réservation. Je pourrais vous proposer [MEJORA CONCRETA]. Souhaitez-vous recevoir un exemple adapté à votre activité ?</x:v>
      </x:c>
      <x:c r="D27" s="15" t="str">
        <x:v>Bonjour, je reviens une fois sur mon idée de [MEJORA CONCRETA]. Si ce n’est pas une priorité, aucun souci.</x:v>
      </x:c>
      <x:c r="E27" s="15" t="str">
        <x:v>Servicio real, público y canal actual</x:v>
      </x:c>
      <x:c r="F27" s="2"/>
      <x:c r="G27" s="2"/>
      <x:c r="H27" s="2"/>
    </x:row>
    <x:row r="28" ht="138" customHeight="1">
      <x:c r="A28" s="15" t="str">
        <x:v>Italiano</x:v>
      </x:c>
      <x:c r="B28" s="15" t="str">
        <x:v>Cursos / experiencias</x:v>
      </x:c>
      <x:c r="C28" s="15" t="str">
        <x:v>Buongiorno, team di [NEGOCIO]. Ho visto [DETALLE REAL]. Realizziamo siti e pagine per richieste e prenotazioni. Potrei proporvi [MEJORA CONCRETA]. Vi interessa ricevere un esempio per la vostra attività?</x:v>
      </x:c>
      <x:c r="D28" s="15" t="str">
        <x:v>Buongiorno, torno una volta sulla proposta di [MEJORA CONCRETA]. Se non è una priorità, nessun problema.</x:v>
      </x:c>
      <x:c r="E28" s="15" t="str">
        <x:v>Tipo de clase, grupo y forma de reserva</x:v>
      </x:c>
      <x:c r="F28" s="2"/>
      <x:c r="G28" s="2"/>
      <x:c r="H28" s="2"/>
    </x:row>
    <x:row r="29">
      <x:c r="A29" s="2"/>
      <x:c r="B29" s="2"/>
      <x:c r="C29" s="2"/>
      <x:c r="D29" s="2"/>
      <x:c r="E29" s="2"/>
      <x:c r="F29" s="2"/>
      <x:c r="G29" s="2"/>
      <x:c r="H29" s="2"/>
    </x:row>
    <x:row r="30">
      <x:c r="A30" s="2"/>
      <x:c r="B30" s="2"/>
      <x:c r="C30" s="2"/>
      <x:c r="D30" s="2"/>
      <x:c r="E30" s="2"/>
      <x:c r="F30" s="2"/>
      <x:c r="G30" s="2"/>
      <x:c r="H30" s="2"/>
    </x:row>
    <x:row r="31" ht="28" customHeight="1">
      <x:c r="A31" s="3" t="str">
        <x:v>Cobertura de la base actual</x:v>
      </x:c>
      <x:c r="B31" s="3"/>
      <x:c r="C31" s="3"/>
      <x:c r="D31" s="3"/>
      <x:c r="E31" s="3"/>
      <x:c r="F31" s="2"/>
      <x:c r="G31" s="2"/>
      <x:c r="H31" s="2"/>
    </x:row>
    <x:row r="32">
      <x:c r="A32" s="2"/>
      <x:c r="B32" s="2"/>
      <x:c r="C32" s="2"/>
      <x:c r="D32" s="2"/>
      <x:c r="E32" s="2"/>
      <x:c r="F32" s="2"/>
      <x:c r="G32" s="2"/>
      <x:c r="H32" s="2"/>
    </x:row>
    <x:row r="33" ht="28" customHeight="1">
      <x:c r="A33" s="27" t="str">
        <x:v>País</x:v>
      </x:c>
      <x:c r="B33" s="27" t="str">
        <x:v>Negocios</x:v>
      </x:c>
      <x:c r="C33" s="2"/>
      <x:c r="D33" s="27" t="str">
        <x:v>Continente</x:v>
      </x:c>
      <x:c r="E33" s="27" t="str">
        <x:v>Negocios</x:v>
      </x:c>
      <x:c r="F33" s="2"/>
      <x:c r="G33" s="2"/>
      <x:c r="H33" s="2"/>
    </x:row>
    <x:row r="34" ht="25" customHeight="1">
      <x:c r="A34" s="2" t="str">
        <x:v>Argentina</x:v>
      </x:c>
      <x:c r="B34" s="28" t="n">
        <x:f>COUNTIFS(Prospectos!$D$9:$D$80,A34)</x:f>
        <x:v>2</x:v>
      </x:c>
      <x:c r="C34" s="2"/>
      <x:c r="D34" s="2" t="str">
        <x:v>América</x:v>
      </x:c>
      <x:c r="E34" s="2" t="n">
        <x:f>COUNTIFS(Prospectos!$I$9:$I$80,D34)</x:f>
        <x:v>32</x:v>
      </x:c>
      <x:c r="F34" s="2"/>
      <x:c r="G34" s="2"/>
      <x:c r="H34" s="2"/>
    </x:row>
    <x:row r="35" ht="25" customHeight="1">
      <x:c r="A35" s="2" t="str">
        <x:v>Australia</x:v>
      </x:c>
      <x:c r="B35" s="28" t="n">
        <x:f>COUNTIFS(Prospectos!$D$9:$D$80,A35)</x:f>
        <x:v>2</x:v>
      </x:c>
      <x:c r="C35" s="2"/>
      <x:c r="D35" s="2" t="str">
        <x:v>Europa</x:v>
      </x:c>
      <x:c r="E35" s="2" t="n">
        <x:f>COUNTIFS(Prospectos!$I$9:$I$80,D35)</x:f>
        <x:v>10</x:v>
      </x:c>
      <x:c r="F35" s="2"/>
      <x:c r="G35" s="2"/>
      <x:c r="H35" s="2"/>
    </x:row>
    <x:row r="36" ht="25" customHeight="1">
      <x:c r="A36" s="2" t="str">
        <x:v>Bolivia</x:v>
      </x:c>
      <x:c r="B36" s="28" t="n">
        <x:f>COUNTIFS(Prospectos!$D$9:$D$80,A36)</x:f>
        <x:v>2</x:v>
      </x:c>
      <x:c r="C36" s="2"/>
      <x:c r="D36" s="2" t="str">
        <x:v>África</x:v>
      </x:c>
      <x:c r="E36" s="2" t="n">
        <x:f>COUNTIFS(Prospectos!$I$9:$I$80,D36)</x:f>
        <x:v>10</x:v>
      </x:c>
      <x:c r="F36" s="2"/>
      <x:c r="G36" s="2"/>
      <x:c r="H36" s="2"/>
    </x:row>
    <x:row r="37" ht="25" customHeight="1">
      <x:c r="A37" s="2" t="str">
        <x:v>Brasil</x:v>
      </x:c>
      <x:c r="B37" s="28" t="n">
        <x:f>COUNTIFS(Prospectos!$D$9:$D$80,A37)</x:f>
        <x:v>2</x:v>
      </x:c>
      <x:c r="C37" s="2"/>
      <x:c r="D37" s="2" t="str">
        <x:v>Asia</x:v>
      </x:c>
      <x:c r="E37" s="2" t="n">
        <x:f>COUNTIFS(Prospectos!$I$9:$I$80,D37)</x:f>
        <x:v>10</x:v>
      </x:c>
      <x:c r="F37" s="2"/>
      <x:c r="G37" s="2"/>
      <x:c r="H37" s="2"/>
    </x:row>
    <x:row r="38" ht="25" customHeight="1">
      <x:c r="A38" s="2" t="str">
        <x:v>Canadá</x:v>
      </x:c>
      <x:c r="B38" s="28" t="n">
        <x:f>COUNTIFS(Prospectos!$D$9:$D$80,A38)</x:f>
        <x:v>2</x:v>
      </x:c>
      <x:c r="C38" s="2"/>
      <x:c r="D38" s="2" t="str">
        <x:v>Oceanía</x:v>
      </x:c>
      <x:c r="E38" s="2" t="n">
        <x:f>COUNTIFS(Prospectos!$I$9:$I$80,D38)</x:f>
        <x:v>10</x:v>
      </x:c>
      <x:c r="F38" s="2"/>
      <x:c r="G38" s="2"/>
      <x:c r="H38" s="2"/>
    </x:row>
    <x:row r="39" ht="25" customHeight="1">
      <x:c r="A39" s="2" t="str">
        <x:v>Chile</x:v>
      </x:c>
      <x:c r="B39" s="28" t="n">
        <x:f>COUNTIFS(Prospectos!$D$9:$D$80,A39)</x:f>
        <x:v>2</x:v>
      </x:c>
      <x:c r="C39" s="2"/>
      <x:c r="D39" s="2"/>
      <x:c r="E39" s="2"/>
      <x:c r="F39" s="2"/>
      <x:c r="G39" s="2"/>
      <x:c r="H39" s="2"/>
    </x:row>
    <x:row r="40" ht="25" customHeight="1">
      <x:c r="A40" s="2" t="str">
        <x:v>Colombia</x:v>
      </x:c>
      <x:c r="B40" s="28" t="n">
        <x:f>COUNTIFS(Prospectos!$D$9:$D$80,A40)</x:f>
        <x:v>2</x:v>
      </x:c>
      <x:c r="C40" s="2"/>
      <x:c r="D40" s="2" t="str">
        <x:v>Total</x:v>
      </x:c>
      <x:c r="E40" s="2" t="n">
        <x:f>SUM(E34:E38)</x:f>
        <x:v>72</x:v>
      </x:c>
      <x:c r="F40" s="2"/>
      <x:c r="G40" s="2"/>
      <x:c r="H40" s="2"/>
    </x:row>
    <x:row r="41" ht="25" customHeight="1">
      <x:c r="A41" s="2" t="str">
        <x:v>Costa Rica</x:v>
      </x:c>
      <x:c r="B41" s="28" t="n">
        <x:f>COUNTIFS(Prospectos!$D$9:$D$80,A41)</x:f>
        <x:v>2</x:v>
      </x:c>
      <x:c r="C41" s="2"/>
      <x:c r="D41" s="2"/>
      <x:c r="E41" s="2"/>
      <x:c r="F41" s="2"/>
      <x:c r="G41" s="2"/>
      <x:c r="H41" s="2"/>
    </x:row>
    <x:row r="42" ht="25" customHeight="1">
      <x:c r="A42" s="2" t="str">
        <x:v>Ecuador</x:v>
      </x:c>
      <x:c r="B42" s="28" t="n">
        <x:f>COUNTIFS(Prospectos!$D$9:$D$80,A42)</x:f>
        <x:v>2</x:v>
      </x:c>
      <x:c r="C42" s="2"/>
      <x:c r="D42" s="2"/>
      <x:c r="E42" s="2"/>
      <x:c r="F42" s="2"/>
      <x:c r="G42" s="2"/>
      <x:c r="H42" s="2"/>
    </x:row>
    <x:row r="43" ht="25" customHeight="1">
      <x:c r="A43" s="2" t="str">
        <x:v>España</x:v>
      </x:c>
      <x:c r="B43" s="28" t="n">
        <x:f>COUNTIFS(Prospectos!$D$9:$D$80,A43)</x:f>
        <x:v>2</x:v>
      </x:c>
      <x:c r="C43" s="2"/>
      <x:c r="D43" s="2"/>
      <x:c r="E43" s="2"/>
      <x:c r="F43" s="2"/>
      <x:c r="G43" s="2"/>
      <x:c r="H43" s="2"/>
    </x:row>
    <x:row r="44" ht="25" customHeight="1">
      <x:c r="A44" s="2" t="str">
        <x:v>Estados Unidos</x:v>
      </x:c>
      <x:c r="B44" s="28" t="n">
        <x:f>COUNTIFS(Prospectos!$D$9:$D$80,A44)</x:f>
        <x:v>2</x:v>
      </x:c>
      <x:c r="C44" s="2"/>
      <x:c r="D44" s="2"/>
      <x:c r="E44" s="2"/>
      <x:c r="F44" s="2"/>
      <x:c r="G44" s="2"/>
      <x:c r="H44" s="2"/>
    </x:row>
    <x:row r="45" ht="25" customHeight="1">
      <x:c r="A45" s="2" t="str">
        <x:v>Fiyi</x:v>
      </x:c>
      <x:c r="B45" s="28" t="n">
        <x:f>COUNTIFS(Prospectos!$D$9:$D$80,A45)</x:f>
        <x:v>2</x:v>
      </x:c>
      <x:c r="C45" s="2"/>
      <x:c r="D45" s="2"/>
      <x:c r="E45" s="2"/>
      <x:c r="F45" s="2"/>
      <x:c r="G45" s="2"/>
      <x:c r="H45" s="2"/>
    </x:row>
    <x:row r="46" ht="25" customHeight="1">
      <x:c r="A46" s="2" t="str">
        <x:v>Francia</x:v>
      </x:c>
      <x:c r="B46" s="28" t="n">
        <x:f>COUNTIFS(Prospectos!$D$9:$D$80,A46)</x:f>
        <x:v>2</x:v>
      </x:c>
      <x:c r="C46" s="2"/>
      <x:c r="D46" s="2"/>
      <x:c r="E46" s="2"/>
      <x:c r="F46" s="2"/>
      <x:c r="G46" s="2"/>
      <x:c r="H46" s="2"/>
    </x:row>
    <x:row r="47" ht="25" customHeight="1">
      <x:c r="A47" s="2" t="str">
        <x:v>Ghana</x:v>
      </x:c>
      <x:c r="B47" s="28" t="n">
        <x:f>COUNTIFS(Prospectos!$D$9:$D$80,A47)</x:f>
        <x:v>2</x:v>
      </x:c>
      <x:c r="C47" s="2"/>
      <x:c r="D47" s="2"/>
      <x:c r="E47" s="2"/>
      <x:c r="F47" s="2"/>
      <x:c r="G47" s="2"/>
      <x:c r="H47" s="2"/>
    </x:row>
    <x:row r="48" ht="25" customHeight="1">
      <x:c r="A48" s="2" t="str">
        <x:v>Guatemala</x:v>
      </x:c>
      <x:c r="B48" s="28" t="n">
        <x:f>COUNTIFS(Prospectos!$D$9:$D$80,A48)</x:f>
        <x:v>2</x:v>
      </x:c>
      <x:c r="C48" s="2"/>
      <x:c r="D48" s="2"/>
      <x:c r="E48" s="2"/>
      <x:c r="F48" s="2"/>
      <x:c r="G48" s="2"/>
      <x:c r="H48" s="2"/>
    </x:row>
    <x:row r="49" ht="25" customHeight="1">
      <x:c r="A49" s="2" t="str">
        <x:v>India</x:v>
      </x:c>
      <x:c r="B49" s="28" t="n">
        <x:f>COUNTIFS(Prospectos!$D$9:$D$80,A49)</x:f>
        <x:v>2</x:v>
      </x:c>
      <x:c r="C49" s="2"/>
      <x:c r="D49" s="2"/>
      <x:c r="E49" s="2"/>
      <x:c r="F49" s="2"/>
      <x:c r="G49" s="2"/>
      <x:c r="H49" s="2"/>
    </x:row>
    <x:row r="50" ht="25" customHeight="1">
      <x:c r="A50" s="2" t="str">
        <x:v>Indonesia</x:v>
      </x:c>
      <x:c r="B50" s="28" t="n">
        <x:f>COUNTIFS(Prospectos!$D$9:$D$80,A50)</x:f>
        <x:v>2</x:v>
      </x:c>
      <x:c r="C50" s="2"/>
      <x:c r="D50" s="2"/>
      <x:c r="E50" s="2"/>
      <x:c r="F50" s="2"/>
      <x:c r="G50" s="2"/>
      <x:c r="H50" s="2"/>
    </x:row>
    <x:row r="51" ht="25" customHeight="1">
      <x:c r="A51" s="2" t="str">
        <x:v>Italia</x:v>
      </x:c>
      <x:c r="B51" s="28" t="n">
        <x:f>COUNTIFS(Prospectos!$D$9:$D$80,A51)</x:f>
        <x:v>2</x:v>
      </x:c>
      <x:c r="C51" s="2"/>
      <x:c r="D51" s="2"/>
      <x:c r="E51" s="2"/>
      <x:c r="F51" s="2"/>
      <x:c r="G51" s="2"/>
      <x:c r="H51" s="2"/>
    </x:row>
    <x:row r="52" ht="25" customHeight="1">
      <x:c r="A52" s="2" t="str">
        <x:v>Kenia</x:v>
      </x:c>
      <x:c r="B52" s="28" t="n">
        <x:f>COUNTIFS(Prospectos!$D$9:$D$80,A52)</x:f>
        <x:v>2</x:v>
      </x:c>
      <x:c r="C52" s="2"/>
      <x:c r="D52" s="2"/>
      <x:c r="E52" s="2"/>
      <x:c r="F52" s="2"/>
      <x:c r="G52" s="2"/>
      <x:c r="H52" s="2"/>
    </x:row>
    <x:row r="53" ht="25" customHeight="1">
      <x:c r="A53" s="2" t="str">
        <x:v>Marruecos</x:v>
      </x:c>
      <x:c r="B53" s="28" t="n">
        <x:f>COUNTIFS(Prospectos!$D$9:$D$80,A53)</x:f>
        <x:v>2</x:v>
      </x:c>
      <x:c r="C53" s="2"/>
      <x:c r="D53" s="2"/>
      <x:c r="E53" s="2"/>
      <x:c r="F53" s="2"/>
      <x:c r="G53" s="2"/>
      <x:c r="H53" s="2"/>
    </x:row>
    <x:row r="54" ht="25" customHeight="1">
      <x:c r="A54" s="2" t="str">
        <x:v>México</x:v>
      </x:c>
      <x:c r="B54" s="28" t="n">
        <x:f>COUNTIFS(Prospectos!$D$9:$D$80,A54)</x:f>
        <x:v>2</x:v>
      </x:c>
      <x:c r="C54" s="2"/>
      <x:c r="D54" s="2"/>
      <x:c r="E54" s="2"/>
      <x:c r="F54" s="2"/>
      <x:c r="G54" s="2"/>
      <x:c r="H54" s="2"/>
    </x:row>
    <x:row r="55" ht="25" customHeight="1">
      <x:c r="A55" s="2" t="str">
        <x:v>Nepal</x:v>
      </x:c>
      <x:c r="B55" s="28" t="n">
        <x:f>COUNTIFS(Prospectos!$D$9:$D$80,A55)</x:f>
        <x:v>2</x:v>
      </x:c>
      <x:c r="C55" s="2"/>
      <x:c r="D55" s="2"/>
      <x:c r="E55" s="2"/>
      <x:c r="F55" s="2"/>
      <x:c r="G55" s="2"/>
      <x:c r="H55" s="2"/>
    </x:row>
    <x:row r="56" ht="25" customHeight="1">
      <x:c r="A56" s="2" t="str">
        <x:v>Nueva Zelanda</x:v>
      </x:c>
      <x:c r="B56" s="28" t="n">
        <x:f>COUNTIFS(Prospectos!$D$9:$D$80,A56)</x:f>
        <x:v>2</x:v>
      </x:c>
      <x:c r="C56" s="2"/>
      <x:c r="D56" s="2"/>
      <x:c r="E56" s="2"/>
      <x:c r="F56" s="2"/>
      <x:c r="G56" s="2"/>
      <x:c r="H56" s="2"/>
    </x:row>
    <x:row r="57" ht="25" customHeight="1">
      <x:c r="A57" s="2" t="str">
        <x:v>Panamá</x:v>
      </x:c>
      <x:c r="B57" s="28" t="n">
        <x:f>COUNTIFS(Prospectos!$D$9:$D$80,A57)</x:f>
        <x:v>2</x:v>
      </x:c>
      <x:c r="C57" s="2"/>
      <x:c r="D57" s="2"/>
      <x:c r="E57" s="2"/>
      <x:c r="F57" s="2"/>
      <x:c r="G57" s="2"/>
      <x:c r="H57" s="2"/>
    </x:row>
    <x:row r="58" ht="25" customHeight="1">
      <x:c r="A58" s="2" t="str">
        <x:v>Paraguay</x:v>
      </x:c>
      <x:c r="B58" s="28" t="n">
        <x:f>COUNTIFS(Prospectos!$D$9:$D$80,A58)</x:f>
        <x:v>2</x:v>
      </x:c>
      <x:c r="C58" s="2"/>
      <x:c r="D58" s="2"/>
      <x:c r="E58" s="2"/>
      <x:c r="F58" s="2"/>
      <x:c r="G58" s="2"/>
      <x:c r="H58" s="2"/>
    </x:row>
    <x:row r="59" ht="25" customHeight="1">
      <x:c r="A59" s="2" t="str">
        <x:v>Perú</x:v>
      </x:c>
      <x:c r="B59" s="28" t="n">
        <x:f>COUNTIFS(Prospectos!$D$9:$D$80,A59)</x:f>
        <x:v>2</x:v>
      </x:c>
      <x:c r="C59" s="2"/>
      <x:c r="D59" s="2"/>
      <x:c r="E59" s="2"/>
      <x:c r="F59" s="2"/>
      <x:c r="G59" s="2"/>
      <x:c r="H59" s="2"/>
    </x:row>
    <x:row r="60" ht="25" customHeight="1">
      <x:c r="A60" s="2" t="str">
        <x:v>Portugal</x:v>
      </x:c>
      <x:c r="B60" s="28" t="n">
        <x:f>COUNTIFS(Prospectos!$D$9:$D$80,A60)</x:f>
        <x:v>2</x:v>
      </x:c>
      <x:c r="C60" s="2"/>
      <x:c r="D60" s="2"/>
      <x:c r="E60" s="2"/>
      <x:c r="F60" s="2"/>
      <x:c r="G60" s="2"/>
      <x:c r="H60" s="2"/>
    </x:row>
    <x:row r="61" ht="25" customHeight="1">
      <x:c r="A61" s="2" t="str">
        <x:v>Reino Unido</x:v>
      </x:c>
      <x:c r="B61" s="28" t="n">
        <x:f>COUNTIFS(Prospectos!$D$9:$D$80,A61)</x:f>
        <x:v>2</x:v>
      </x:c>
      <x:c r="C61" s="2"/>
      <x:c r="D61" s="2"/>
      <x:c r="E61" s="2"/>
      <x:c r="F61" s="2"/>
      <x:c r="G61" s="2"/>
      <x:c r="H61" s="2"/>
    </x:row>
    <x:row r="62" ht="25" customHeight="1">
      <x:c r="A62" s="2" t="str">
        <x:v>República Dominicana</x:v>
      </x:c>
      <x:c r="B62" s="28" t="n">
        <x:f>COUNTIFS(Prospectos!$D$9:$D$80,A62)</x:f>
        <x:v>2</x:v>
      </x:c>
      <x:c r="C62" s="2"/>
      <x:c r="D62" s="2"/>
      <x:c r="E62" s="2"/>
      <x:c r="F62" s="2"/>
      <x:c r="G62" s="2"/>
      <x:c r="H62" s="2"/>
    </x:row>
    <x:row r="63" ht="25" customHeight="1">
      <x:c r="A63" s="2" t="str">
        <x:v>Samoa</x:v>
      </x:c>
      <x:c r="B63" s="28" t="n">
        <x:f>COUNTIFS(Prospectos!$D$9:$D$80,A63)</x:f>
        <x:v>2</x:v>
      </x:c>
      <x:c r="C63" s="2"/>
      <x:c r="D63" s="2"/>
      <x:c r="E63" s="2"/>
      <x:c r="F63" s="2"/>
      <x:c r="G63" s="2"/>
      <x:c r="H63" s="2"/>
    </x:row>
    <x:row r="64" ht="25" customHeight="1">
      <x:c r="A64" s="2" t="str">
        <x:v>Sri Lanka</x:v>
      </x:c>
      <x:c r="B64" s="28" t="n">
        <x:f>COUNTIFS(Prospectos!$D$9:$D$80,A64)</x:f>
        <x:v>2</x:v>
      </x:c>
      <x:c r="C64" s="2"/>
      <x:c r="D64" s="2"/>
      <x:c r="E64" s="2"/>
      <x:c r="F64" s="2"/>
      <x:c r="G64" s="2"/>
      <x:c r="H64" s="2"/>
    </x:row>
    <x:row r="65" ht="25" customHeight="1">
      <x:c r="A65" s="2" t="str">
        <x:v>Sudáfrica</x:v>
      </x:c>
      <x:c r="B65" s="28" t="n">
        <x:f>COUNTIFS(Prospectos!$D$9:$D$80,A65)</x:f>
        <x:v>2</x:v>
      </x:c>
      <x:c r="C65" s="2"/>
      <x:c r="D65" s="2"/>
      <x:c r="E65" s="2"/>
      <x:c r="F65" s="2"/>
      <x:c r="G65" s="2"/>
      <x:c r="H65" s="2"/>
    </x:row>
    <x:row r="66" ht="25" customHeight="1">
      <x:c r="A66" s="2" t="str">
        <x:v>Tanzania</x:v>
      </x:c>
      <x:c r="B66" s="28" t="n">
        <x:f>COUNTIFS(Prospectos!$D$9:$D$80,A66)</x:f>
        <x:v>2</x:v>
      </x:c>
      <x:c r="C66" s="2"/>
      <x:c r="D66" s="2"/>
      <x:c r="E66" s="2"/>
      <x:c r="F66" s="2"/>
      <x:c r="G66" s="2"/>
      <x:c r="H66" s="2"/>
    </x:row>
    <x:row r="67" ht="25" customHeight="1">
      <x:c r="A67" s="2" t="str">
        <x:v>Uruguay</x:v>
      </x:c>
      <x:c r="B67" s="28" t="n">
        <x:f>COUNTIFS(Prospectos!$D$9:$D$80,A67)</x:f>
        <x:v>2</x:v>
      </x:c>
      <x:c r="C67" s="2"/>
      <x:c r="D67" s="2"/>
      <x:c r="E67" s="2"/>
      <x:c r="F67" s="2"/>
      <x:c r="G67" s="2"/>
      <x:c r="H67" s="2"/>
    </x:row>
    <x:row r="68" ht="25" customHeight="1">
      <x:c r="A68" s="2" t="str">
        <x:v>Vanuatu</x:v>
      </x:c>
      <x:c r="B68" s="28" t="n">
        <x:f>COUNTIFS(Prospectos!$D$9:$D$80,A68)</x:f>
        <x:v>2</x:v>
      </x:c>
      <x:c r="C68" s="2"/>
      <x:c r="D68" s="2"/>
      <x:c r="E68" s="2"/>
      <x:c r="F68" s="2"/>
      <x:c r="G68" s="2"/>
      <x:c r="H68" s="2"/>
    </x:row>
    <x:row r="69" ht="25" customHeight="1">
      <x:c r="A69" s="2" t="str">
        <x:v>Vietnam</x:v>
      </x:c>
      <x:c r="B69" s="28" t="n">
        <x:f>COUNTIFS(Prospectos!$D$9:$D$80,A69)</x:f>
        <x:v>2</x:v>
      </x:c>
      <x:c r="C69" s="2"/>
      <x:c r="D69" s="2"/>
      <x:c r="E69" s="2"/>
      <x:c r="F69" s="2"/>
      <x:c r="G69" s="2"/>
      <x:c r="H69" s="2"/>
    </x:row>
    <x:row r="70">
      <x:c r="A70" s="2"/>
      <x:c r="B70" s="2"/>
      <x:c r="C70" s="2"/>
      <x:c r="D70" s="2"/>
      <x:c r="E70" s="2"/>
      <x:c r="F70" s="2"/>
      <x:c r="G70" s="2"/>
      <x:c r="H70" s="2"/>
    </x:row>
    <x:row r="71">
      <x:c r="A71" s="2"/>
      <x:c r="B71" s="2"/>
      <x:c r="C71" s="2"/>
      <x:c r="D71" s="2"/>
      <x:c r="E71" s="2"/>
      <x:c r="F71" s="2"/>
      <x:c r="G71" s="2"/>
      <x:c r="H71" s="2"/>
    </x:row>
    <x:row r="72">
      <x:c r="A72" s="2"/>
      <x:c r="B72" s="2"/>
      <x:c r="C72" s="2"/>
      <x:c r="D72" s="2"/>
      <x:c r="E72" s="2"/>
      <x:c r="F72" s="2"/>
      <x:c r="G72" s="2"/>
      <x:c r="H72" s="2"/>
    </x:row>
    <x:row r="73">
      <x:c r="A73" s="2"/>
      <x:c r="B73" s="2"/>
      <x:c r="C73" s="2"/>
      <x:c r="D73" s="2"/>
      <x:c r="E73" s="2"/>
      <x:c r="F73" s="2"/>
      <x:c r="G73" s="2"/>
      <x:c r="H73" s="2"/>
    </x:row>
    <x:row r="74">
      <x:c r="A74" s="2"/>
      <x:c r="B74" s="2"/>
      <x:c r="C74" s="2"/>
      <x:c r="D74" s="2"/>
      <x:c r="E74" s="2"/>
      <x:c r="F74" s="2"/>
      <x:c r="G74" s="2"/>
      <x:c r="H74" s="2"/>
    </x:row>
    <x:row r="75">
      <x:c r="A75" s="2"/>
      <x:c r="B75" s="2"/>
      <x:c r="C75" s="2"/>
      <x:c r="D75" s="2"/>
      <x:c r="E75" s="2"/>
      <x:c r="F75" s="2"/>
      <x:c r="G75" s="2"/>
      <x:c r="H75" s="2"/>
    </x:row>
    <x:row r="76">
      <x:c r="A76" s="2"/>
      <x:c r="B76" s="2"/>
      <x:c r="C76" s="2"/>
      <x:c r="D76" s="2"/>
      <x:c r="E76" s="2"/>
      <x:c r="F76" s="2"/>
      <x:c r="G76" s="2"/>
      <x:c r="H76" s="2"/>
    </x:row>
    <x:row r="77">
      <x:c r="A77" s="2"/>
      <x:c r="B77" s="2"/>
      <x:c r="C77" s="2"/>
      <x:c r="D77" s="2"/>
      <x:c r="E77" s="2"/>
      <x:c r="F77" s="2"/>
      <x:c r="G77" s="2"/>
      <x:c r="H77" s="2"/>
    </x:row>
    <x:row r="78">
      <x:c r="A78" s="2"/>
      <x:c r="B78" s="2"/>
      <x:c r="C78" s="2"/>
      <x:c r="D78" s="2"/>
      <x:c r="E78" s="2"/>
      <x:c r="F78" s="2"/>
      <x:c r="G78" s="2"/>
      <x:c r="H78" s="2"/>
    </x:row>
  </x:sheetData>
  <x:mergeCells>
    <x:mergeCell ref="B4:E4"/>
    <x:mergeCell ref="B5:E5"/>
    <x:mergeCell ref="B6:E6"/>
    <x:mergeCell ref="B7:E7"/>
    <x:mergeCell ref="B8:E8"/>
    <x:mergeCell ref="B9:E9"/>
    <x:mergeCell ref="B10:E10"/>
    <x:mergeCell ref="B11:E11"/>
  </x:mergeCells>
  <x:pageMargins left="0.7" right="0.7" top="0.75" bottom="0.75" header="0.3" footer="0.3"/>
  <x:tableParts count="1">
    <x:tablePart xmlns:r="http://schemas.openxmlformats.org/officeDocument/2006/relationships" r:id="R36218ec7e0834ecc"/>
  </x:tableParts>
</x:worksheet>
</file>
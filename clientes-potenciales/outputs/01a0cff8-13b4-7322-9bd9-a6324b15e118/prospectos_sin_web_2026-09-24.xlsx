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cbfae43bd443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spectos" sheetId="1" r:id="R4354ace4c74c4b33"/>
    <x:sheet xmlns:r="http://schemas.openxmlformats.org/officeDocument/2006/relationships" name="Guía y mensajes" sheetId="2" r:id="R5caeb4dfa4e940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dd/mm/yyyy"/>
  </x:numFmts>
  <x:fonts count="9">
    <x:font>
      <x:sz val="11"/>
      <x:name val="Carlito"/>
    </x:font>
    <x:font>
      <x:sz val="10"/>
      <x:color rgb="FF243B53"/>
      <x:name val="Arial"/>
    </x:font>
    <x:font>
      <x:b/>
      <x:sz val="16"/>
      <x:color rgb="FF102A43"/>
      <x:name val="Arial"/>
    </x:font>
    <x:font>
      <x:sz val="10"/>
      <x:color rgb="FF52606D"/>
      <x:name val="Arial"/>
    </x:font>
    <x:font>
      <x:b/>
      <x:sz val="10"/>
      <x:color rgb="FF52606D"/>
      <x:name val="Arial"/>
    </x:font>
    <x:font>
      <x:b/>
      <x:sz val="16"/>
      <x:color rgb="FF0F766E"/>
      <x:name val="Arial"/>
    </x:font>
    <x:font>
      <x:b/>
      <x:sz val="10"/>
      <x:color rgb="FFFFFFFF"/>
      <x:name val="Arial"/>
    </x:font>
    <x:font>
      <x:b/>
      <x:sz val="10"/>
      <x:color rgb="FF102A43"/>
      <x:name val="Arial"/>
    </x:font>
    <x:font>
      <x:sz val="10"/>
      <x:color rgb="FF2563EB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F3F6F8"/>
      </x:patternFill>
    </x:fill>
    <x:fill>
      <x:patternFill patternType="solid">
        <x:fgColor rgb="FFFFFFFF"/>
      </x:patternFill>
    </x:fill>
    <x:fill>
      <x:patternFill patternType="solid">
        <x:fgColor rgb="FFFFF7DC"/>
      </x:patternFill>
    </x:fill>
    <x:fill>
      <x:patternFill patternType="solid">
        <x:fgColor rgb="FF102A43"/>
      </x:patternFill>
    </x:fill>
    <x:fill>
      <x:patternFill patternType="solid">
        <x:fgColor rgb="FFF3F6F8"/>
      </x:patternFill>
    </x:fill>
    <x:fill>
      <x:patternFill patternType="solid">
        <x:fgColor rgb="FFFFFFFF"/>
      </x:patternFill>
    </x:fill>
  </x:fills>
  <x:borders count="1">
    <x:border/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201" fontId="1" fillId="5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6" fillId="6" borderId="0" xfId="0" applyNumberFormat="1" applyFont="1" applyFill="1" applyBorder="1" applyAlignment="1">
      <x:alignment horizontal="center" vertical="center" wrapText="1"/>
    </x:xf>
    <x:xf numFmtId="0" fontId="7" fillId="7" borderId="0" xfId="0" applyNumberFormat="1" applyFont="1" applyFill="1" applyBorder="1" applyAlignment="1">
      <x:alignment horizontal="center" vertical="center" wrapText="1"/>
    </x:xf>
    <x:xf numFmtId="0" fontId="1" fillId="8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5">
    <x:dxf>
      <x:font>
        <x:b/>
        <x:color rgb="FF176044"/>
      </x:font>
      <x:fill>
        <x:patternFill>
          <x:bgColor rgb="FFE4F3EE"/>
        </x:patternFill>
      </x:fill>
    </x:dxf>
    <x:dxf>
      <x:font>
        <x:b/>
        <x:color rgb="FF345376"/>
      </x:font>
      <x:fill>
        <x:patternFill>
          <x:bgColor rgb="FFEAF0F8"/>
        </x:patternFill>
      </x:fill>
    </x:dxf>
    <x:dxf>
      <x:font>
        <x:b/>
        <x:color rgb="FF805500"/>
      </x:font>
      <x:fill>
        <x:patternFill>
          <x:bgColor rgb="FFFFF2CD"/>
        </x:patternFill>
      </x:fill>
    </x:dxf>
    <x:dxf>
      <x:font>
        <x:b/>
        <x:color rgb="FF61707D"/>
      </x:font>
      <x:fill>
        <x:patternFill>
          <x:bgColor rgb="FFECEFF2"/>
        </x:patternFill>
      </x:fill>
    </x:dxf>
    <x:dxf>
      <x:font>
        <x:b/>
        <x:color rgb="FF9C3030"/>
      </x:font>
      <x:fill>
        <x:patternFill>
          <x:bgColor rgb="FFFBE7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9729aa64b44059" /><Relationship Type="http://schemas.openxmlformats.org/officeDocument/2006/relationships/theme" Target="/xl/theme/theme1.xml" Id="R511a5a0174e04bcd" /><Relationship Type="http://schemas.openxmlformats.org/officeDocument/2006/relationships/sharedStrings" Target="/xl/sharedStrings.xml" Id="Re4130e3baacd4251" /><Relationship Type="http://schemas.openxmlformats.org/officeDocument/2006/relationships/worksheet" Target="/xl/worksheets/sheet1.xml" Id="R4354ace4c74c4b33" /><Relationship Type="http://schemas.openxmlformats.org/officeDocument/2006/relationships/worksheet" Target="/xl/worksheets/sheet2.xml" Id="R5caeb4dfa4e9403c" /></Relationships>
</file>

<file path=xl/tables/table1.xml><?xml version="1.0" encoding="utf-8"?>
<x:table xmlns:x="http://schemas.openxmlformats.org/spreadsheetml/2006/main" id="3" name="ProspectosGlobales" displayName="ProspectosGlobales" ref="A8:W28" headerRowCount="1" totalsRowCount="0" totalsRowShown="0">
  <x:autoFilter ref="A8:W28"/>
  <x:tableColumns count="23">
    <x:tableColumn id="1" name="Prioridad"/>
    <x:tableColumn id="2" name="Negocio"/>
    <x:tableColumn id="3" name="Rubro"/>
    <x:tableColumn id="4" name="País"/>
    <x:tableColumn id="5" name="Email público"/>
    <x:tableColumn id="6" name="Teléfono público"/>
    <x:tableColumn id="7" name="Contactar"/>
    <x:tableColumn id="8" name="Ciudad / zona"/>
    <x:tableColumn id="9" name="Continente"/>
    <x:tableColumn id="10" name="Idioma sugerido"/>
    <x:tableColumn id="11" name="Primera web que ofrecer"/>
    <x:tableColumn id="12" name="Situación web"/>
    <x:tableColumn id="13" name="Evidencia y límites de revisión"/>
    <x:tableColumn id="14" name="Búsquedas realizadas"/>
    <x:tableColumn id="15" name="Revisado el"/>
    <x:tableColumn id="16" name="Estado contacto"/>
    <x:tableColumn id="17" name="Último contacto"/>
    <x:tableColumn id="18" name="Próximo seguimiento"/>
    <x:tableColumn id="19" name="Notas de seguimiento"/>
    <x:tableColumn id="20" name="ID"/>
    <x:tableColumn id="21" name=" "/>
    <x:tableColumn id="22" name="Fuente pública principal"/>
    <x:tableColumn id="23" name="Fuente complementari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ensajesProspeccion" displayName="MensajesProspeccion" ref="A14:E28" headerRowCount="1" totalsRowCount="0" totalsRowShown="0">
  <x:autoFilter ref="A14:E28"/>
  <x:tableColumns count="5">
    <x:tableColumn id="1" name="Idioma"/>
    <x:tableColumn id="2" name="Rubro"/>
    <x:tableColumn id="3" name="Primer mensaje"/>
    <x:tableColumn id="4" name="Seguimiento"/>
    <x:tableColumn id="5" name="Personalizar c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Relationships xmlns="http://schemas.openxmlformats.org/package/2006/relationships"><Relationship Type="http://schemas.openxmlformats.org/officeDocument/2006/relationships/table" Target="/xl/tables/table1.xml" Id="R1f678450e1064acf" /><Relationship Id="rIdLeadLink1" Type="http://schemas.openxmlformats.org/officeDocument/2006/relationships/hyperlink" Target="mailto:coquito51@hotmail.es" TargetMode="External" /><Relationship Id="rIdLeadLink2" Type="http://schemas.openxmlformats.org/officeDocument/2006/relationships/hyperlink" Target="https://ar.todosnegocios.com/vivero-los-margaritos-02244-47-5333" TargetMode="External" /><Relationship Id="rIdLeadLink3" Type="http://schemas.openxmlformats.org/officeDocument/2006/relationships/hyperlink" Target="https://www.argentina.gob.ar/sites/default/files/padron_operadores_vigente.pdf" TargetMode="External" /><Relationship Id="rIdLeadLink4" Type="http://schemas.openxmlformats.org/officeDocument/2006/relationships/hyperlink" Target="tel:+59172139484" TargetMode="External" /><Relationship Id="rIdLeadLink5" Type="http://schemas.openxmlformats.org/officeDocument/2006/relationships/hyperlink" Target="https://bo.todosnegocios.com/vivero-la-loma-de-el-torno-72139484" TargetMode="External" /><Relationship Id="rIdLeadLink6" Type="http://schemas.openxmlformats.org/officeDocument/2006/relationships/hyperlink" Target="https://eldeber.com.bo/para-ellas/macarena-maldonado-y-su-terapia-con-las-plantas_526189" TargetMode="External" /><Relationship Id="rIdLeadLink7" Type="http://schemas.openxmlformats.org/officeDocument/2006/relationships/hyperlink" Target="mailto:gimnasio.freesport@gmail.com" TargetMode="External" /><Relationship Id="rIdLeadLink8" Type="http://schemas.openxmlformats.org/officeDocument/2006/relationships/hyperlink" Target="https://cl.todosnegocios.com/gimnasio-club-free-sport-9-6271-7988" TargetMode="External" /><Relationship Id="rIdLeadLink9" Type="http://schemas.openxmlformats.org/officeDocument/2006/relationships/hyperlink" Target="https://www.infostgo.cl/id/3099-gimnasio-club-free-sport" TargetMode="External" /><Relationship Id="rIdLeadLink10" Type="http://schemas.openxmlformats.org/officeDocument/2006/relationships/hyperlink" Target="mailto:delanclear@gmail.com" TargetMode="External" /><Relationship Id="rIdLeadLink11" Type="http://schemas.openxmlformats.org/officeDocument/2006/relationships/hyperlink" Target="https://ec.todosnegocios.com/taller-delan-proyectos-soluciones-098-849-5371" TargetMode="External" /><Relationship Id="rIdLeadLink12" Type="http://schemas.openxmlformats.org/officeDocument/2006/relationships/hyperlink" Target="https://es.cybo.com/EC-c%C3%B3digo-postal/090206_guayaquil/tienda-de-hardware/" TargetMode="External" /><Relationship Id="rIdLeadLink13" Type="http://schemas.openxmlformats.org/officeDocument/2006/relationships/hyperlink" Target="tel:+34644265102" TargetMode="External" /><Relationship Id="rIdLeadLink14" Type="http://schemas.openxmlformats.org/officeDocument/2006/relationships/hyperlink" Target="https://www.todosbiz.es/peluquer%C3%ADa-juan-pedro_40-644-26-51-02" TargetMode="External" /><Relationship Id="rIdLeadLink15" Type="http://schemas.openxmlformats.org/officeDocument/2006/relationships/hyperlink" Target="https://www.fresha.com/lvp/peluqueria-juan-pedro-calle-turina-alcala-de-henares-RvLGjy" TargetMode="External" /><Relationship Id="rIdLeadLink16" Type="http://schemas.openxmlformats.org/officeDocument/2006/relationships/hyperlink" Target="mailto:laurapelu34@gmail.com" TargetMode="External" /><Relationship Id="rIdLeadLink17" Type="http://schemas.openxmlformats.org/officeDocument/2006/relationships/hyperlink" Target="https://ajofrin.es/varios/" TargetMode="External" /><Relationship Id="rIdLeadLink18" Type="http://schemas.openxmlformats.org/officeDocument/2006/relationships/hyperlink" Target="https://www.todosbiz.es/peluqueria-y-est-u-e-tica-unisex-laura-667-01-44-99" TargetMode="External" /><Relationship Id="rIdLeadLink19" Type="http://schemas.openxmlformats.org/officeDocument/2006/relationships/hyperlink" Target="tel:+523315375347" TargetMode="External" /><Relationship Id="rIdLeadLink20" Type="http://schemas.openxmlformats.org/officeDocument/2006/relationships/hyperlink" Target="https://www.allbiz.mx/costuras-citrus-33-1537-5347" TargetMode="External" /><Relationship Id="rIdLeadLink21" Type="http://schemas.openxmlformats.org/officeDocument/2006/relationships/hyperlink" Target="https://talleresdecostura.com/jalisco/jalisco-guadalajara/" TargetMode="External" /><Relationship Id="rIdLeadLink22" Type="http://schemas.openxmlformats.org/officeDocument/2006/relationships/hyperlink" Target="https://wa.me/59892505057" TargetMode="External" /><Relationship Id="rIdLeadLink23" Type="http://schemas.openxmlformats.org/officeDocument/2006/relationships/hyperlink" Target="https://1122.com.uy/local/lux-peluqueria/LOC780000001" TargetMode="External" /><Relationship Id="rIdLeadLink24" Type="http://schemas.openxmlformats.org/officeDocument/2006/relationships/hyperlink" Target="https://uy.todosnegocios.com/lux-peluquer%C3%ADa-092-505-057" TargetMode="External" /><Relationship Id="rIdLeadLink25" Type="http://schemas.openxmlformats.org/officeDocument/2006/relationships/hyperlink" Target="tel:+8801970999780" TargetMode="External" /><Relationship Id="rIdLeadLink26" Type="http://schemas.openxmlformats.org/officeDocument/2006/relationships/hyperlink" Target="https://www.bizsouthasia.com/BD/uttara-exclusive-salon-01924-491873" TargetMode="External" /><Relationship Id="rIdLeadLink27" Type="http://schemas.openxmlformats.org/officeDocument/2006/relationships/hyperlink" Target="https://www.beautynailhairsalons.com/BD/Dhaka/109465321814560/Uttara-exclusive-saloon" TargetMode="External" /><Relationship Id="rIdLeadLink28" Type="http://schemas.openxmlformats.org/officeDocument/2006/relationships/hyperlink" Target="tel:+15198373170" TargetMode="External" /><Relationship Id="rIdLeadLink29" Type="http://schemas.openxmlformats.org/officeDocument/2006/relationships/hyperlink" Target="https://www.wellington.ca/business-development/business-directory/bodyworks-brian-j-hoffman" TargetMode="External" /><Relationship Id="rIdLeadLink30" Type="http://schemas.openxmlformats.org/officeDocument/2006/relationships/hyperlink" Target="https://www.yellowpages.ca/bus/Ontario/Guelph/Bodyworks-By-Brian-J-Hoffman/212034.html" TargetMode="External" /><Relationship Id="rIdLeadLink31" Type="http://schemas.openxmlformats.org/officeDocument/2006/relationships/hyperlink" Target="tel:+16475684800" TargetMode="External" /><Relationship Id="rIdLeadLink32" Type="http://schemas.openxmlformats.org/officeDocument/2006/relationships/hyperlink" Target="https://www.yellowpages.ca/bus/Canada/Mike-The-Electrician-Guy/104333267.html" TargetMode="External" /><Relationship Id="rIdLeadLink33" Type="http://schemas.openxmlformats.org/officeDocument/2006/relationships/hyperlink" Target="https://www.canpages.ca/page/ON/mike-the-electrician-guy/104333267" TargetMode="External" /><Relationship Id="rIdLeadLink34" Type="http://schemas.openxmlformats.org/officeDocument/2006/relationships/hyperlink" Target="mailto:bubblezsalon@gmail.com" TargetMode="External" /><Relationship Id="rIdLeadLink35" Type="http://schemas.openxmlformats.org/officeDocument/2006/relationships/hyperlink" Target="https://www.bharatibiz.com/en/bubblez-salon-099207-85405" TargetMode="External" /><Relationship Id="rIdLeadLink36" Type="http://schemas.openxmlformats.org/officeDocument/2006/relationships/hyperlink" Target="https://www.asklaila.com/search/Mumbai/vile-parle-east/salons/" TargetMode="External" /><Relationship Id="rIdLeadLink37" Type="http://schemas.openxmlformats.org/officeDocument/2006/relationships/hyperlink" Target="mailto:floristrafiq@gmail.com" TargetMode="External" /><Relationship Id="rIdLeadLink38" Type="http://schemas.openxmlformats.org/officeDocument/2006/relationships/hyperlink" Target="https://www.bharatibiz.com/en/rafiq-florist-095273-12385" TargetMode="External" /><Relationship Id="rIdLeadLink39" Type="http://schemas.openxmlformats.org/officeDocument/2006/relationships/hyperlink" Target="https://happynew.day/vendor/rafiq-florist" TargetMode="External" /><Relationship Id="rIdLeadLink40" Type="http://schemas.openxmlformats.org/officeDocument/2006/relationships/hyperlink" Target="tel:+35316708725" TargetMode="External" /><Relationship Id="rIdLeadLink41" Type="http://schemas.openxmlformats.org/officeDocument/2006/relationships/hyperlink" Target="https://www.bizireland.com/edelweiss-florist-01-670-8725" TargetMode="External" /><Relationship Id="rIdLeadLink42" Type="http://schemas.openxmlformats.org/officeDocument/2006/relationships/hyperlink" Target="https://www.findglocal.com/IE/Dublin/123692-42/genre/192111490806699/Florists/4" TargetMode="External" /><Relationship Id="rIdLeadLink43" Type="http://schemas.openxmlformats.org/officeDocument/2006/relationships/hyperlink" Target="https://www.instagram.com/ajanihouse/" TargetMode="External" /><Relationship Id="rIdLeadLink44" Type="http://schemas.openxmlformats.org/officeDocument/2006/relationships/hyperlink" Target="https://www.restaurants10.com/KE/Nairobi/419071618124259/Ajani-House" TargetMode="External" /><Relationship Id="rIdLeadLink45" Type="http://schemas.openxmlformats.org/officeDocument/2006/relationships/hyperlink" Target="https://www.africabizinfo.com/KE/ajani-house-bakery-0728-439776" TargetMode="External" /><Relationship Id="rIdLeadLink46" Type="http://schemas.openxmlformats.org/officeDocument/2006/relationships/hyperlink" Target="tel:+923013952135" TargetMode="External" /><Relationship Id="rIdLeadLink47" Type="http://schemas.openxmlformats.org/officeDocument/2006/relationships/hyperlink" Target="https://www.bizsouthasia.com/PK/yha-salon-and-studio-0301-3952135" TargetMode="External" /><Relationship Id="rIdLeadLink48" Type="http://schemas.openxmlformats.org/officeDocument/2006/relationships/hyperlink" Target="https://pk.worldorgs.com/catalog/sialkot/beauty-salon/yha-salon-and-studio" TargetMode="External" /><Relationship Id="rIdLeadLink49" Type="http://schemas.openxmlformats.org/officeDocument/2006/relationships/hyperlink" Target="tel:+351222082150" TargetMode="External" /><Relationship Id="rIdLeadLink50" Type="http://schemas.openxmlformats.org/officeDocument/2006/relationships/hyperlink" Target="https://www.todosnegocio.com/cabeleireiro-fernando-amaral-22-208-2150" TargetMode="External" /><Relationship Id="rIdLeadLink51" Type="http://schemas.openxmlformats.org/officeDocument/2006/relationships/hyperlink" Target="https://www.sabemais.pt/categoria-results/3009/26" TargetMode="External" /><Relationship Id="rIdLeadLink52" Type="http://schemas.openxmlformats.org/officeDocument/2006/relationships/hyperlink" Target="tel:+351918795692" TargetMode="External" /><Relationship Id="rIdLeadLink53" Type="http://schemas.openxmlformats.org/officeDocument/2006/relationships/hyperlink" Target="https://www.todosnegocio.com/telma-cabeleireiro_1c-918-795-692" TargetMode="External" /><Relationship Id="rIdLeadLink54" Type="http://schemas.openxmlformats.org/officeDocument/2006/relationships/hyperlink" Target="https://esteticaperto.com/cabeleireiros/almada/telma-cabeleireiro/" TargetMode="External" /><Relationship Id="rIdLeadLink55" Type="http://schemas.openxmlformats.org/officeDocument/2006/relationships/hyperlink" Target="mailto:namuaislandbeachfales@gmail.com" TargetMode="External" /><Relationship Id="rIdLeadLink56" Type="http://schemas.openxmlformats.org/officeDocument/2006/relationships/hyperlink" Target="https://www.samoa.travel/plan-book/samoa-accommodation/namua-island-beach-fales/" TargetMode="External" /><Relationship Id="rIdLeadLink57" Type="http://schemas.openxmlformats.org/officeDocument/2006/relationships/hyperlink" Target="https://www.samoa.travel/plan-book/activities/namua-island/" TargetMode="External" /><Relationship Id="rIdLeadLink58" Type="http://schemas.openxmlformats.org/officeDocument/2006/relationships/hyperlink" Target="mailto:cakes.bellalicious@gmail.com" TargetMode="External" /><Relationship Id="rIdLeadLink59" Type="http://schemas.openxmlformats.org/officeDocument/2006/relationships/hyperlink" Target="https://www.africabizinfo.com/ZA/bellalicious-cakes-083-709-2529" TargetMode="External" /><Relationship Id="rIdLeadLink60" Type="http://schemas.openxmlformats.org/officeDocument/2006/relationships/hyperlink" Target="https://www.findglocal.com/ZA/Johannesburg/1494231-27/2" TargetMode="External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60228de3a7346b9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tabColor rgb="FF102A43"/>
  </x:sheetPr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13.130000114440918" hidden="0" customWidth="1"/>
    <x:col min="2" max="2" width="29.75" hidden="0" customWidth="1"/>
    <x:col min="3" max="3" width="22.75" hidden="0" customWidth="1"/>
    <x:col min="4" max="4" width="17" hidden="0" customWidth="1"/>
    <x:col min="5" max="5" width="32.75" hidden="0" customWidth="1"/>
    <x:col min="6" max="6" width="20.6299991607666" hidden="0" customWidth="1"/>
    <x:col min="7" max="7" width="17.5" hidden="0" customWidth="1"/>
    <x:col min="8" max="8" width="20.6299991607666" hidden="0" customWidth="1"/>
    <x:col min="9" max="9" width="13.25" hidden="0" customWidth="1"/>
    <x:col min="10" max="10" width="21.25" hidden="0" customWidth="1"/>
    <x:col min="11" max="11" width="45" hidden="0" customWidth="1"/>
    <x:col min="12" max="12" width="24.3799991607666" hidden="0" customWidth="1"/>
    <x:col min="13" max="13" width="66.25" hidden="0" customWidth="1"/>
    <x:col min="14" max="14" width="58.75" hidden="0" customWidth="1"/>
    <x:col min="15" max="15" width="14.380000114440918" hidden="0" customWidth="1"/>
    <x:col min="16" max="16" width="18.75" hidden="0" customWidth="1"/>
    <x:col min="17" max="17" width="15" hidden="0" customWidth="1"/>
    <x:col min="18" max="18" width="16.5" hidden="0" customWidth="1"/>
    <x:col min="19" max="19" width="43.75" hidden="0" customWidth="1"/>
    <x:col min="20" max="20" width="11.25" hidden="0" customWidth="1"/>
    <x:col min="21" max="21" width="3" hidden="0" customWidth="1"/>
    <x:col min="22" max="22" width="55" hidden="0" customWidth="1"/>
    <x:col min="23" max="23" width="5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</x:row>
    <x:row r="2" ht="28" customHeight="1">
      <x:c r="A2" s="3" t="str">
        <x:v>TRAZA · Prospectos para una primera web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</x:row>
    <x:row r="3" ht="24" customHeight="1">
      <x:c r="A3" s="4" t="str">
        <x:v>20 negocios · 16 países · 5 continentes · revisión 24/09/2026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</x:row>
    <x:row r="4" ht="24" customHeight="1">
      <x:c r="A4" s="2" t="str">
        <x:v>Solo negocios sin sitio propio encontrado. Redes y fichas de terceros sí pueden existir. Evidencia y límites de revisión en cada fila.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</x:row>
    <x:row r="6" ht="23" customHeight="1">
      <x:c r="A6" s="5" t="str">
        <x:v>TOTAL</x:v>
      </x:c>
      <x:c r="B6" s="2"/>
      <x:c r="C6" s="5" t="str">
        <x:v>REVISADOS 24/09</x:v>
      </x:c>
      <x:c r="D6" s="2"/>
      <x:c r="E6" s="5" t="str">
        <x:v>EN ESPAÑOL</x:v>
      </x:c>
      <x:c r="F6" s="2"/>
      <x:c r="G6" s="5" t="str">
        <x:v>INTERNACIONAL</x:v>
      </x:c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</x:row>
    <x:row r="7" ht="28" customHeight="1">
      <x:c r="A7" s="6" t="n">
        <x:f>COUNTA(B9:B28)</x:f>
        <x:v>20</x:v>
      </x:c>
      <x:c r="B7" s="2"/>
      <x:c r="C7" s="6" t="n">
        <x:f>COUNTIFS(O9:O28,DATE(2026,9,24))</x:f>
        <x:v>20</x:v>
      </x:c>
      <x:c r="D7" s="2"/>
      <x:c r="E7" s="6" t="n">
        <x:f>COUNTIFS(J9:J28,"Español")</x:f>
        <x:v>8</x:v>
      </x:c>
      <x:c r="F7" s="2"/>
      <x:c r="G7" s="6" t="n">
        <x:f>A7-E7</x:f>
        <x:v>12</x:v>
      </x:c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</x:row>
    <x:row r="8" ht="34" customHeight="1">
      <x:c r="A8" s="29" t="str">
        <x:v>Prioridad</x:v>
      </x:c>
      <x:c r="B8" s="29" t="str">
        <x:v>Negocio</x:v>
      </x:c>
      <x:c r="C8" s="29" t="str">
        <x:v>Rubro</x:v>
      </x:c>
      <x:c r="D8" s="29" t="str">
        <x:v>País</x:v>
      </x:c>
      <x:c r="E8" s="29" t="str">
        <x:v>Email público</x:v>
      </x:c>
      <x:c r="F8" s="29" t="str">
        <x:v>Teléfono público</x:v>
      </x:c>
      <x:c r="G8" s="29" t="str">
        <x:v>Contactar</x:v>
      </x:c>
      <x:c r="H8" s="29" t="str">
        <x:v>Ciudad / zona</x:v>
      </x:c>
      <x:c r="I8" s="29" t="str">
        <x:v>Continente</x:v>
      </x:c>
      <x:c r="J8" s="29" t="str">
        <x:v>Idioma sugerido</x:v>
      </x:c>
      <x:c r="K8" s="29" t="str">
        <x:v>Primera web que ofrecer</x:v>
      </x:c>
      <x:c r="L8" s="29" t="str">
        <x:v>Situación web</x:v>
      </x:c>
      <x:c r="M8" s="29" t="str">
        <x:v>Evidencia y límites de revisión</x:v>
      </x:c>
      <x:c r="N8" s="29" t="str">
        <x:v>Búsquedas realizadas</x:v>
      </x:c>
      <x:c r="O8" s="29" t="str">
        <x:v>Revisado el</x:v>
      </x:c>
      <x:c r="P8" s="29" t="str">
        <x:v>Estado contacto</x:v>
      </x:c>
      <x:c r="Q8" s="29" t="str">
        <x:v>Último contacto</x:v>
      </x:c>
      <x:c r="R8" s="29" t="str">
        <x:v>Próximo seguimiento</x:v>
      </x:c>
      <x:c r="S8" s="29" t="str">
        <x:v>Notas de seguimiento</x:v>
      </x:c>
      <x:c r="T8" s="29" t="str">
        <x:v>ID</x:v>
      </x:c>
      <x:c r="U8" s="31" t="str">
        <x:v> </x:v>
      </x:c>
      <x:c r="V8" s="30" t="str">
        <x:v>Fuente pública principal</x:v>
      </x:c>
      <x:c r="W8" s="30" t="str">
        <x:v>Fuente complementaria</x:v>
      </x:c>
    </x:row>
    <x:row r="9" ht="78" customHeight="1">
      <x:c r="A9" s="15" t="str">
        <x:v>Alta</x:v>
      </x:c>
      <x:c r="B9" s="15" t="str">
        <x:v>Vivero Los Margaritos</x:v>
      </x:c>
      <x:c r="C9" s="15" t="str">
        <x:v>Vivero y jardinería</x:v>
      </x:c>
      <x:c r="D9" s="15" t="str">
        <x:v>Argentina</x:v>
      </x:c>
      <x:c r="E9" s="18" t="str">
        <x:v>coquito51@hotmail.es</x:v>
      </x:c>
      <x:c r="F9" s="18" t="str">
        <x:v>+54 2244 475333</x:v>
      </x:c>
      <x:c r="G9" s="25" t="str">
        <x:v>Enviar email</x:v>
      </x:c>
      <x:c r="H9" s="15" t="str">
        <x:v>Las Flores, Buenos Aires</x:v>
      </x:c>
      <x:c r="I9" s="15" t="str">
        <x:v>América</x:v>
      </x:c>
      <x:c r="J9" s="15" t="str">
        <x:v>Español</x:v>
      </x:c>
      <x:c r="K9" s="15" t="str">
        <x:v>Primera web con catálogo de plantas, ubicación y consultas por producto.</x:v>
      </x:c>
      <x:c r="L9" s="15" t="str">
        <x:v>Sin web propia encontrada</x:v>
      </x:c>
      <x:c r="M9" s="15" t="str">
        <x:v>La ficha remite a Facebook y no declara web. Las búsquedas por nombre y localidad devuelven directorios y el padrón de viveros, sin sitio propio. El padrón respalda la localidad; no demuestra por sí solo ausencia de web.</x:v>
      </x:c>
      <x:c r="N9" s="15" t="str">
        <x:v>"Vivero Los Margaritos"; "Vivero Los Margaritos" "Las Flores" Facebook</x:v>
      </x:c>
      <x:c r="O9" s="20" t="n">
        <x:v>46289</x:v>
      </x:c>
      <x:c r="P9" s="22" t="str">
        <x:v>No contactado</x:v>
      </x:c>
      <x:c r="Q9" s="23"/>
      <x:c r="R9" s="23"/>
      <x:c r="S9" s="24" t="str"/>
      <x:c r="T9" s="15" t="str">
        <x:v>NW-001</x:v>
      </x:c>
      <x:c r="U9" s="32"/>
      <x:c r="V9" s="26" t="str">
        <x:v>https://ar.todosnegocios.com/vivero-los-margaritos-02244-47-5333</x:v>
      </x:c>
      <x:c r="W9" s="26" t="str">
        <x:v>https://www.argentina.gob.ar/sites/default/files/padron_operadores_vigente.pdf</x:v>
      </x:c>
    </x:row>
    <x:row r="10" ht="78" customHeight="1">
      <x:c r="A10" s="15" t="str">
        <x:v>Alta</x:v>
      </x:c>
      <x:c r="B10" s="15" t="str">
        <x:v>Vivero La Loma de El Torno</x:v>
      </x:c>
      <x:c r="C10" s="15" t="str">
        <x:v>Vivero mayorista</x:v>
      </x:c>
      <x:c r="D10" s="15" t="str">
        <x:v>Bolivia</x:v>
      </x:c>
      <x:c r="E10" s="18" t="str">
        <x:v>—</x:v>
      </x:c>
      <x:c r="F10" s="18" t="str">
        <x:v>+591 72139484</x:v>
      </x:c>
      <x:c r="G10" s="25" t="str">
        <x:v>Llamar</x:v>
      </x:c>
      <x:c r="H10" s="15" t="str">
        <x:v>El Torno, Santa Cruz</x:v>
      </x:c>
      <x:c r="I10" s="15" t="str">
        <x:v>América</x:v>
      </x:c>
      <x:c r="J10" s="15" t="str">
        <x:v>Español</x:v>
      </x:c>
      <x:c r="K10" s="15" t="str">
        <x:v>Primera web con variedades, ventas mayoristas y formulario para cotizaciones.</x:v>
      </x:c>
      <x:c r="L10" s="15" t="str">
        <x:v>Sin web propia encontrada</x:v>
      </x:c>
      <x:c r="M10" s="15" t="str">
        <x:v>Directorio sin web declarada y con enlace a Facebook. Una nota de agosto de 2025 describe el vivero familiar. Las búsquedas de nombre y variante comercial no mostraron sitio propio. Facebook exige acceso y no pudo revisarse completo.</x:v>
      </x:c>
      <x:c r="N10" s="15" t="str">
        <x:v>"Vivero la Loma de El Torno"; "Vivero La Loma" "El Torno" web</x:v>
      </x:c>
      <x:c r="O10" s="20" t="n">
        <x:v>46289</x:v>
      </x:c>
      <x:c r="P10" s="22" t="str">
        <x:v>No contactado</x:v>
      </x:c>
      <x:c r="Q10" s="23"/>
      <x:c r="R10" s="23"/>
      <x:c r="S10" s="24" t="str"/>
      <x:c r="T10" s="15" t="str">
        <x:v>NW-002</x:v>
      </x:c>
      <x:c r="U10" s="32"/>
      <x:c r="V10" s="26" t="str">
        <x:v>https://bo.todosnegocios.com/vivero-la-loma-de-el-torno-72139484</x:v>
      </x:c>
      <x:c r="W10" s="26" t="str">
        <x:v>https://eldeber.com.bo/para-ellas/macarena-maldonado-y-su-terapia-con-las-plantas_526189</x:v>
      </x:c>
    </x:row>
    <x:row r="11" ht="78" customHeight="1">
      <x:c r="A11" s="15" t="str">
        <x:v>Alta</x:v>
      </x:c>
      <x:c r="B11" s="15" t="str">
        <x:v>Gimnasio Club Free Sport</x:v>
      </x:c>
      <x:c r="C11" s="15" t="str">
        <x:v>Gimnasio</x:v>
      </x:c>
      <x:c r="D11" s="15" t="str">
        <x:v>Chile</x:v>
      </x:c>
      <x:c r="E11" s="18" t="str">
        <x:v>gimnasio.freesport@gmail.com</x:v>
      </x:c>
      <x:c r="F11" s="18" t="str">
        <x:v>+56 9 6271 7988</x:v>
      </x:c>
      <x:c r="G11" s="25" t="str">
        <x:v>Enviar email</x:v>
      </x:c>
      <x:c r="H11" s="15" t="str">
        <x:v>San Miguel, Santiago</x:v>
      </x:c>
      <x:c r="I11" s="15" t="str">
        <x:v>América</x:v>
      </x:c>
      <x:c r="J11" s="15" t="str">
        <x:v>Español</x:v>
      </x:c>
      <x:c r="K11" s="15" t="str">
        <x:v>Primera web con actividades, horarios e inscripción mediante consulta.</x:v>
      </x:c>
      <x:c r="L11" s="15" t="str">
        <x:v>Sin web propia encontrada</x:v>
      </x:c>
      <x:c r="M11" s="15" t="str">
        <x:v>Dos directorios coinciden en negocio, zona y teléfono. La ficha remite a Facebook y no declara web propia. Búsquedas por nombre completo y teléfono no mostraron un sitio del gimnasio.</x:v>
      </x:c>
      <x:c r="N11" s="15" t="str">
        <x:v>"Gimnasio Club Free Sport" Chile; "Free Sport" "6271"</x:v>
      </x:c>
      <x:c r="O11" s="20" t="n">
        <x:v>46289</x:v>
      </x:c>
      <x:c r="P11" s="22" t="str">
        <x:v>No contactado</x:v>
      </x:c>
      <x:c r="Q11" s="23"/>
      <x:c r="R11" s="23"/>
      <x:c r="S11" s="24" t="str"/>
      <x:c r="T11" s="15" t="str">
        <x:v>GL-007</x:v>
      </x:c>
      <x:c r="U11" s="32"/>
      <x:c r="V11" s="26" t="str">
        <x:v>https://cl.todosnegocios.com/gimnasio-club-free-sport-9-6271-7988</x:v>
      </x:c>
      <x:c r="W11" s="26" t="str">
        <x:v>https://www.infostgo.cl/id/3099-gimnasio-club-free-sport</x:v>
      </x:c>
    </x:row>
    <x:row r="12" ht="78" customHeight="1">
      <x:c r="A12" s="15" t="str">
        <x:v>Alta</x:v>
      </x:c>
      <x:c r="B12" s="15" t="str">
        <x:v>Taller DELAN Proyectos &amp; Soluciones</x:v>
      </x:c>
      <x:c r="C12" s="15" t="str">
        <x:v>Muebles y fabricación a medida</x:v>
      </x:c>
      <x:c r="D12" s="15" t="str">
        <x:v>Ecuador</x:v>
      </x:c>
      <x:c r="E12" s="18" t="str">
        <x:v>delanclear@gmail.com</x:v>
      </x:c>
      <x:c r="F12" s="18" t="str">
        <x:v>+593 98 849 5371</x:v>
      </x:c>
      <x:c r="G12" s="25" t="str">
        <x:v>Enviar email</x:v>
      </x:c>
      <x:c r="H12" s="15" t="str">
        <x:v>Guayaquil, Guayas</x:v>
      </x:c>
      <x:c r="I12" s="15" t="str">
        <x:v>América</x:v>
      </x:c>
      <x:c r="J12" s="15" t="str">
        <x:v>Español</x:v>
      </x:c>
      <x:c r="K12" s="15" t="str">
        <x:v>Primera web con portfolio de muebles y formulario de presupuesto con medidas y fotos.</x:v>
      </x:c>
      <x:c r="L12" s="15" t="str">
        <x:v>Sin web propia encontrada</x:v>
      </x:c>
      <x:c r="M12" s="15" t="str">
        <x:v>La ficha declara Facebook e Instagram sin web propia. Cybo coincide en nombre, ciudad y teléfono. La búsqueda por nombre comercial y ciudad no mostró sitio propio.</x:v>
      </x:c>
      <x:c r="N12" s="15" t="str">
        <x:v>"Taller DELAN" Guayaquil; site:cr.todosnegocios.com "No hay ningún sitio web" "taller"</x:v>
      </x:c>
      <x:c r="O12" s="20" t="n">
        <x:v>46289</x:v>
      </x:c>
      <x:c r="P12" s="22" t="str">
        <x:v>No contactado</x:v>
      </x:c>
      <x:c r="Q12" s="23"/>
      <x:c r="R12" s="23"/>
      <x:c r="S12" s="24" t="str"/>
      <x:c r="T12" s="15" t="str">
        <x:v>NW-004</x:v>
      </x:c>
      <x:c r="U12" s="32"/>
      <x:c r="V12" s="26" t="str">
        <x:v>https://ec.todosnegocios.com/taller-delan-proyectos-soluciones-098-849-5371</x:v>
      </x:c>
      <x:c r="W12" s="26" t="str">
        <x:v>https://es.cybo.com/EC-c%C3%B3digo-postal/090206_guayaquil/tienda-de-hardware/</x:v>
      </x:c>
    </x:row>
    <x:row r="13" ht="78" customHeight="1">
      <x:c r="A13" s="15" t="str">
        <x:v>Alta</x:v>
      </x:c>
      <x:c r="B13" s="15" t="str">
        <x:v>Peluquería Juan Pedro</x:v>
      </x:c>
      <x:c r="C13" s="15" t="str">
        <x:v>Peluquería</x:v>
      </x:c>
      <x:c r="D13" s="15" t="str">
        <x:v>España</x:v>
      </x:c>
      <x:c r="E13" s="18" t="str">
        <x:v>—</x:v>
      </x:c>
      <x:c r="F13" s="18" t="str">
        <x:v>+34 644 265 102</x:v>
      </x:c>
      <x:c r="G13" s="25" t="str">
        <x:v>Llamar</x:v>
      </x:c>
      <x:c r="H13" s="15" t="str">
        <x:v>Alcalá de Henares, Madrid</x:v>
      </x:c>
      <x:c r="I13" s="15" t="str">
        <x:v>Europa</x:v>
      </x:c>
      <x:c r="J13" s="15" t="str">
        <x:v>Español</x:v>
      </x:c>
      <x:c r="K13" s="15" t="str">
        <x:v>Primera web con cortes, ubicación y llamada directa para pedir cita.</x:v>
      </x:c>
      <x:c r="L13" s="15" t="str">
        <x:v>Sin web propia encontrada</x:v>
      </x:c>
      <x:c r="M13" s="15" t="str">
        <x:v>TodosBiz no declara web y Fresha muestra una ficha con reserva por llamada. Ambos identifican el local de Turina 5. La búsqueda por nombre y localidad no mostró sitio propio; Fresha es una ficha de plataforma.</x:v>
      </x:c>
      <x:c r="N13" s="15" t="str">
        <x:v>"Peluquería Juan Pedro" "Alcalá"; "644265102"</x:v>
      </x:c>
      <x:c r="O13" s="20" t="n">
        <x:v>46289</x:v>
      </x:c>
      <x:c r="P13" s="22" t="str">
        <x:v>No contactado</x:v>
      </x:c>
      <x:c r="Q13" s="23"/>
      <x:c r="R13" s="23"/>
      <x:c r="S13" s="24" t="str"/>
      <x:c r="T13" s="15" t="str">
        <x:v>NW-006</x:v>
      </x:c>
      <x:c r="U13" s="32"/>
      <x:c r="V13" s="26" t="str">
        <x:v>https://www.todosbiz.es/peluquer%C3%ADa-juan-pedro_40-644-26-51-02</x:v>
      </x:c>
      <x:c r="W13" s="26" t="str">
        <x:v>https://www.fresha.com/lvp/peluqueria-juan-pedro-calle-turina-alcala-de-henares-RvLGjy</x:v>
      </x:c>
    </x:row>
    <x:row r="14" ht="78" customHeight="1">
      <x:c r="A14" s="15" t="str">
        <x:v>Alta</x:v>
      </x:c>
      <x:c r="B14" s="15" t="str">
        <x:v>Peluquería y Estética Unisex Laura</x:v>
      </x:c>
      <x:c r="C14" s="15" t="str">
        <x:v>Peluquería y estética</x:v>
      </x:c>
      <x:c r="D14" s="15" t="str">
        <x:v>España</x:v>
      </x:c>
      <x:c r="E14" s="18" t="str">
        <x:v>laurapelu34@gmail.com</x:v>
      </x:c>
      <x:c r="F14" s="18" t="str">
        <x:v>+34 667 014 499</x:v>
      </x:c>
      <x:c r="G14" s="25" t="str">
        <x:v>Enviar email</x:v>
      </x:c>
      <x:c r="H14" s="15" t="str">
        <x:v>Ajofrín, Toledo</x:v>
      </x:c>
      <x:c r="I14" s="15" t="str">
        <x:v>Europa</x:v>
      </x:c>
      <x:c r="J14" s="15" t="str">
        <x:v>Español</x:v>
      </x:c>
      <x:c r="K14" s="15" t="str">
        <x:v>Primera web con servicios de peluquería y estética, trabajos y solicitud de cita.</x:v>
      </x:c>
      <x:c r="L14" s="15" t="str">
        <x:v>Sin web propia encontrada</x:v>
      </x:c>
      <x:c r="M14" s="15" t="str">
        <x:v>El ayuntamiento publica teléfono y email del comercio. TodosBiz remite a Facebook, sin web. Búsquedas por nombre, localidad y email no mostraron sitio propio. La página municipal se publicó en 2017; los datos no se probaron por llamada.</x:v>
      </x:c>
      <x:c r="N14" s="15" t="str">
        <x:v>"Peluqueria" "LAURA" "Ajofrín"; "laurapelu34"</x:v>
      </x:c>
      <x:c r="O14" s="20" t="n">
        <x:v>46289</x:v>
      </x:c>
      <x:c r="P14" s="22" t="str">
        <x:v>No contactado</x:v>
      </x:c>
      <x:c r="Q14" s="23"/>
      <x:c r="R14" s="23"/>
      <x:c r="S14" s="24" t="str"/>
      <x:c r="T14" s="15" t="str">
        <x:v>NW-005</x:v>
      </x:c>
      <x:c r="U14" s="32"/>
      <x:c r="V14" s="26" t="str">
        <x:v>https://ajofrin.es/varios/</x:v>
      </x:c>
      <x:c r="W14" s="26" t="str">
        <x:v>https://www.todosbiz.es/peluqueria-y-est-u-e-tica-unisex-laura-667-01-44-99</x:v>
      </x:c>
    </x:row>
    <x:row r="15" ht="78" customHeight="1">
      <x:c r="A15" s="15" t="str">
        <x:v>Alta</x:v>
      </x:c>
      <x:c r="B15" s="15" t="str">
        <x:v>Costuras Citrus</x:v>
      </x:c>
      <x:c r="C15" s="15" t="str">
        <x:v>Uniformes y confección</x:v>
      </x:c>
      <x:c r="D15" s="15" t="str">
        <x:v>México</x:v>
      </x:c>
      <x:c r="E15" s="18" t="str">
        <x:v>facturacion.citrus@hotmail.com</x:v>
      </x:c>
      <x:c r="F15" s="18" t="str">
        <x:v>+52 33 1537 5347</x:v>
      </x:c>
      <x:c r="G15" s="25" t="str">
        <x:v>Llamar</x:v>
      </x:c>
      <x:c r="H15" s="15" t="str">
        <x:v>Guadalajara, Jalisco</x:v>
      </x:c>
      <x:c r="I15" s="15" t="str">
        <x:v>América</x:v>
      </x:c>
      <x:c r="J15" s="15" t="str">
        <x:v>Español</x:v>
      </x:c>
      <x:c r="K15" s="15" t="str">
        <x:v>Primera web con modelos de uniformes, talles y pedido de presupuesto por cantidad.</x:v>
      </x:c>
      <x:c r="L15" s="15" t="str">
        <x:v>Sin web propia encontrada</x:v>
      </x:c>
      <x:c r="M15" s="15" t="str">
        <x:v>AllBiz declara Facebook, sin sitio propio. Otra guía identifica el taller. La búsqueda por nombre y ciudad no mostró web comercial. El correo publicado es de facturación: conviene usar el teléfono y pedir el canal comercial.</x:v>
      </x:c>
      <x:c r="N15" s="15" t="str">
        <x:v>"Costuras Citrus" Guadalajara; "costuras citrus" "web"</x:v>
      </x:c>
      <x:c r="O15" s="20" t="n">
        <x:v>46289</x:v>
      </x:c>
      <x:c r="P15" s="22" t="str">
        <x:v>No contactado</x:v>
      </x:c>
      <x:c r="Q15" s="23"/>
      <x:c r="R15" s="23"/>
      <x:c r="S15" s="24" t="str"/>
      <x:c r="T15" s="15" t="str">
        <x:v>GL-017</x:v>
      </x:c>
      <x:c r="U15" s="32"/>
      <x:c r="V15" s="26" t="str">
        <x:v>https://www.allbiz.mx/costuras-citrus-33-1537-5347</x:v>
      </x:c>
      <x:c r="W15" s="26" t="str">
        <x:v>https://talleresdecostura.com/jalisco/jalisco-guadalajara/</x:v>
      </x:c>
    </x:row>
    <x:row r="16" ht="78" customHeight="1">
      <x:c r="A16" s="15" t="str">
        <x:v>Alta</x:v>
      </x:c>
      <x:c r="B16" s="15" t="str">
        <x:v>Lux Peluquería</x:v>
      </x:c>
      <x:c r="C16" s="15" t="str">
        <x:v>Peluquería y estética</x:v>
      </x:c>
      <x:c r="D16" s="15" t="str">
        <x:v>Uruguay</x:v>
      </x:c>
      <x:c r="E16" s="18" t="str">
        <x:v>—</x:v>
      </x:c>
      <x:c r="F16" s="18" t="str">
        <x:v>+598 92 505 057</x:v>
      </x:c>
      <x:c r="G16" s="25" t="str">
        <x:v>WhatsApp</x:v>
      </x:c>
      <x:c r="H16" s="15" t="str">
        <x:v>Centro, Montevideo</x:v>
      </x:c>
      <x:c r="I16" s="15" t="str">
        <x:v>América</x:v>
      </x:c>
      <x:c r="J16" s="15" t="str">
        <x:v>Español</x:v>
      </x:c>
      <x:c r="K16" s="15" t="str">
        <x:v>Primera web con servicios, galería y consultas de turnos por WhatsApp.</x:v>
      </x:c>
      <x:c r="L16" s="15" t="str">
        <x:v>Sin web propia encontrada</x:v>
      </x:c>
      <x:c r="M16" s="15" t="str">
        <x:v>Guía 1122 publica WhatsApp y servicios; TodosNegocios no declara web. La búsqueda por nombre y ciudad no encontró sitio propio. Los directorios difieren en la altura de San José: confirmar dirección al preparar la propuesta.</x:v>
      </x:c>
      <x:c r="N16" s="15" t="str">
        <x:v>"Lux Peluquería" Montevideo; site:uy.todosnegocios.com "No hay ningún sitio web" "peluquería"</x:v>
      </x:c>
      <x:c r="O16" s="20" t="n">
        <x:v>46289</x:v>
      </x:c>
      <x:c r="P16" s="22" t="str">
        <x:v>No contactado</x:v>
      </x:c>
      <x:c r="Q16" s="23"/>
      <x:c r="R16" s="23"/>
      <x:c r="S16" s="24" t="str"/>
      <x:c r="T16" s="15" t="str">
        <x:v>NW-003</x:v>
      </x:c>
      <x:c r="U16" s="32"/>
      <x:c r="V16" s="26" t="str">
        <x:v>https://1122.com.uy/local/lux-peluqueria/LOC780000001</x:v>
      </x:c>
      <x:c r="W16" s="26" t="str">
        <x:v>https://uy.todosnegocios.com/lux-peluquer%C3%ADa-092-505-057</x:v>
      </x:c>
    </x:row>
    <x:row r="17" ht="78" customHeight="1">
      <x:c r="A17" s="15" t="str">
        <x:v>Media</x:v>
      </x:c>
      <x:c r="B17" s="15" t="str">
        <x:v>Uttara Exclusive Salon</x:v>
      </x:c>
      <x:c r="C17" s="15" t="str">
        <x:v>Barbería y peluquería</x:v>
      </x:c>
      <x:c r="D17" s="15" t="str">
        <x:v>Bangladesh</x:v>
      </x:c>
      <x:c r="E17" s="18" t="str">
        <x:v>—</x:v>
      </x:c>
      <x:c r="F17" s="18" t="str">
        <x:v>+880 1970 999780</x:v>
      </x:c>
      <x:c r="G17" s="25" t="str">
        <x:v>Llamar</x:v>
      </x:c>
      <x:c r="H17" s="15" t="str">
        <x:v>Uttara, Dhaka</x:v>
      </x:c>
      <x:c r="I17" s="15" t="str">
        <x:v>Asia</x:v>
      </x:c>
      <x:c r="J17" s="15" t="str">
        <x:v>Inglés (confirmar; bengalí local)</x:v>
      </x:c>
      <x:c r="K17" s="15" t="str">
        <x:v>Primera web con servicios, precios autorizados por el salón y consulta de turnos.</x:v>
      </x:c>
      <x:c r="L17" s="15" t="str">
        <x:v>Sin web propia encontrada</x:v>
      </x:c>
      <x:c r="M17" s="15" t="str">
        <x:v>La ficha no declara web. Una publicación reproducida del 15/05/2026 coincide en dirección y teléfono 01970-999780. Búsqueda por nombre sin sitio propio encontrado. El perfil de Facebook no pudo abrirse completo.</x:v>
      </x:c>
      <x:c r="N17" s="15" t="str">
        <x:v>"Uttara Exclusive Salon"; site:bizsouthasia.com "There is no website listed" "salon"</x:v>
      </x:c>
      <x:c r="O17" s="20" t="n">
        <x:v>46289</x:v>
      </x:c>
      <x:c r="P17" s="22" t="str">
        <x:v>No contactado</x:v>
      </x:c>
      <x:c r="Q17" s="23"/>
      <x:c r="R17" s="23"/>
      <x:c r="S17" s="24" t="str"/>
      <x:c r="T17" s="15" t="str">
        <x:v>NW-010</x:v>
      </x:c>
      <x:c r="U17" s="32"/>
      <x:c r="V17" s="26" t="str">
        <x:v>https://www.bizsouthasia.com/BD/uttara-exclusive-salon-01924-491873</x:v>
      </x:c>
      <x:c r="W17" s="26" t="str">
        <x:v>https://www.beautynailhairsalons.com/BD/Dhaka/109465321814560/Uttara-exclusive-saloon</x:v>
      </x:c>
    </x:row>
    <x:row r="18" ht="78" customHeight="1">
      <x:c r="A18" s="15" t="str">
        <x:v>Media</x:v>
      </x:c>
      <x:c r="B18" s="15" t="str">
        <x:v>Bodyworks By Brian J Hoffman</x:v>
      </x:c>
      <x:c r="C18" s="15" t="str">
        <x:v>Chapa y pintura automotor</x:v>
      </x:c>
      <x:c r="D18" s="15" t="str">
        <x:v>Canadá</x:v>
      </x:c>
      <x:c r="E18" s="18" t="str">
        <x:v>—</x:v>
      </x:c>
      <x:c r="F18" s="18" t="str">
        <x:v>+1 519 837 3170</x:v>
      </x:c>
      <x:c r="G18" s="25" t="str">
        <x:v>Llamar</x:v>
      </x:c>
      <x:c r="H18" s="15" t="str">
        <x:v>Guelph, Ontario</x:v>
      </x:c>
      <x:c r="I18" s="15" t="str">
        <x:v>América</x:v>
      </x:c>
      <x:c r="J18" s="15" t="str">
        <x:v>Inglés</x:v>
      </x:c>
      <x:c r="K18" s="15" t="str">
        <x:v>Primera web con trabajos de carrocería, fotos y consultas para presupuestos.</x:v>
      </x:c>
      <x:c r="L18" s="15" t="str">
        <x:v>Sin web propia encontrada</x:v>
      </x:c>
      <x:c r="M18" s="15" t="str">
        <x:v>El directorio del condado y Yellow Pages coinciden en teléfono y actividad. Búsquedas por nombre y teléfono muestran fichas y reseñas, sin sitio propio encontrado.</x:v>
      </x:c>
      <x:c r="N18" s="15" t="str">
        <x:v>"Bodyworks By Brian J Hoffman"; "5198373170"</x:v>
      </x:c>
      <x:c r="O18" s="20" t="n">
        <x:v>46289</x:v>
      </x:c>
      <x:c r="P18" s="22" t="str">
        <x:v>No contactado</x:v>
      </x:c>
      <x:c r="Q18" s="23"/>
      <x:c r="R18" s="23"/>
      <x:c r="S18" s="24" t="str"/>
      <x:c r="T18" s="15" t="str">
        <x:v>GL-030</x:v>
      </x:c>
      <x:c r="U18" s="32"/>
      <x:c r="V18" s="26" t="str">
        <x:v>https://www.wellington.ca/business-development/business-directory/bodyworks-brian-j-hoffman</x:v>
      </x:c>
      <x:c r="W18" s="26" t="str">
        <x:v>https://www.yellowpages.ca/bus/Ontario/Guelph/Bodyworks-By-Brian-J-Hoffman/212034.html</x:v>
      </x:c>
    </x:row>
    <x:row r="19" ht="78" customHeight="1">
      <x:c r="A19" s="15" t="str">
        <x:v>Media</x:v>
      </x:c>
      <x:c r="B19" s="15" t="str">
        <x:v>Mike The Electrician Guy</x:v>
      </x:c>
      <x:c r="C19" s="15" t="str">
        <x:v>Servicios eléctricos</x:v>
      </x:c>
      <x:c r="D19" s="15" t="str">
        <x:v>Canadá</x:v>
      </x:c>
      <x:c r="E19" s="18" t="str">
        <x:v>—</x:v>
      </x:c>
      <x:c r="F19" s="18" t="str">
        <x:v>+1 647 568 4800</x:v>
      </x:c>
      <x:c r="G19" s="25" t="str">
        <x:v>Llamar</x:v>
      </x:c>
      <x:c r="H19" s="15" t="str">
        <x:v>Gran Toronto, Ontario</x:v>
      </x:c>
      <x:c r="I19" s="15" t="str">
        <x:v>América</x:v>
      </x:c>
      <x:c r="J19" s="15" t="str">
        <x:v>Inglés</x:v>
      </x:c>
      <x:c r="K19" s="15" t="str">
        <x:v>Primera web con servicios eléctricos, zona de atención y solicitud de presupuesto.</x:v>
      </x:c>
      <x:c r="L19" s="15" t="str">
        <x:v>Sin web propia encontrada</x:v>
      </x:c>
      <x:c r="M19" s="15" t="str">
        <x:v>Yellow Pages y Canpages publican el mismo teléfono y servicio en Toronto. En las fichas y búsquedas revisadas no apareció un sitio propio. Se trata de evidencia pública de directorios; no hubo confirmación telefónica.</x:v>
      </x:c>
      <x:c r="N19" s="15" t="str">
        <x:v>"Mike The Electrician Guy"; "6475684800"</x:v>
      </x:c>
      <x:c r="O19" s="20" t="n">
        <x:v>46289</x:v>
      </x:c>
      <x:c r="P19" s="22" t="str">
        <x:v>No contactado</x:v>
      </x:c>
      <x:c r="Q19" s="23"/>
      <x:c r="R19" s="23"/>
      <x:c r="S19" s="24" t="str"/>
      <x:c r="T19" s="15" t="str">
        <x:v>GL-029</x:v>
      </x:c>
      <x:c r="U19" s="32"/>
      <x:c r="V19" s="26" t="str">
        <x:v>https://www.yellowpages.ca/bus/Canada/Mike-The-Electrician-Guy/104333267.html</x:v>
      </x:c>
      <x:c r="W19" s="26" t="str">
        <x:v>https://www.canpages.ca/page/ON/mike-the-electrician-guy/104333267</x:v>
      </x:c>
    </x:row>
    <x:row r="20" ht="78" customHeight="1">
      <x:c r="A20" s="15" t="str">
        <x:v>Media</x:v>
      </x:c>
      <x:c r="B20" s="15" t="str">
        <x:v>Bubblez Salon</x:v>
      </x:c>
      <x:c r="C20" s="15" t="str">
        <x:v>Peluquería y belleza</x:v>
      </x:c>
      <x:c r="D20" s="15" t="str">
        <x:v>India</x:v>
      </x:c>
      <x:c r="E20" s="18" t="str">
        <x:v>bubblezsalon@gmail.com</x:v>
      </x:c>
      <x:c r="F20" s="18" t="str">
        <x:v>+91 99207 85405</x:v>
      </x:c>
      <x:c r="G20" s="25" t="str">
        <x:v>Enviar email</x:v>
      </x:c>
      <x:c r="H20" s="15" t="str">
        <x:v>Vile Parle East, Mumbai</x:v>
      </x:c>
      <x:c r="I20" s="15" t="str">
        <x:v>Asia</x:v>
      </x:c>
      <x:c r="J20" s="15" t="str">
        <x:v>Inglés</x:v>
      </x:c>
      <x:c r="K20" s="15" t="str">
        <x:v>Primera web con servicios de belleza, galería del salón y consultas de reserva.</x:v>
      </x:c>
      <x:c r="L20" s="15" t="str">
        <x:v>Sin web propia encontrada</x:v>
      </x:c>
      <x:c r="M20" s="15" t="str">
        <x:v>BharatiBiz remite a Facebook sin sitio web. AskLaila ubica Bubblez Hair and Beauty Salon en Vile Parle East. Búsquedas por nombre y email no mostraron sitio propio. Las fuentes se leyeron mediante el índice.</x:v>
      </x:c>
      <x:c r="N20" s="15" t="str">
        <x:v>"Bubblez Salon" Mumbai; "bubblezsalon"</x:v>
      </x:c>
      <x:c r="O20" s="20" t="n">
        <x:v>46289</x:v>
      </x:c>
      <x:c r="P20" s="22" t="str">
        <x:v>No contactado</x:v>
      </x:c>
      <x:c r="Q20" s="23"/>
      <x:c r="R20" s="23"/>
      <x:c r="S20" s="24" t="str"/>
      <x:c r="T20" s="15" t="str">
        <x:v>NW-012</x:v>
      </x:c>
      <x:c r="U20" s="32"/>
      <x:c r="V20" s="26" t="str">
        <x:v>https://www.bharatibiz.com/en/bubblez-salon-099207-85405</x:v>
      </x:c>
      <x:c r="W20" s="26" t="str">
        <x:v>https://www.asklaila.com/search/Mumbai/vile-parle-east/salons/</x:v>
      </x:c>
    </x:row>
    <x:row r="21" ht="78" customHeight="1">
      <x:c r="A21" s="15" t="str">
        <x:v>Media</x:v>
      </x:c>
      <x:c r="B21" s="15" t="str">
        <x:v>Rafiq Florist</x:v>
      </x:c>
      <x:c r="C21" s="15" t="str">
        <x:v>Florería</x:v>
      </x:c>
      <x:c r="D21" s="15" t="str">
        <x:v>India</x:v>
      </x:c>
      <x:c r="E21" s="18" t="str">
        <x:v>floristrafiq@gmail.com</x:v>
      </x:c>
      <x:c r="F21" s="18" t="str">
        <x:v>+91 95273 12385</x:v>
      </x:c>
      <x:c r="G21" s="25" t="str">
        <x:v>Enviar email</x:v>
      </x:c>
      <x:c r="H21" s="15" t="str">
        <x:v>Margao, Goa</x:v>
      </x:c>
      <x:c r="I21" s="15" t="str">
        <x:v>Asia</x:v>
      </x:c>
      <x:c r="J21" s="15" t="str">
        <x:v>Inglés</x:v>
      </x:c>
      <x:c r="K21" s="15" t="str">
        <x:v>Primera web con ramos, decoración floral y solicitud de cotización.</x:v>
      </x:c>
      <x:c r="L21" s="15" t="str">
        <x:v>Sin web propia encontrada</x:v>
      </x:c>
      <x:c r="M21" s="15" t="str">
        <x:v>Ambas fichas remiten a Facebook, coinciden en teléfono y no declaran web propia. La búsqueda por nombre, Goa y email no encontró sitio propio. Se consultó contenido indexado; la apertura directa fue limitada.</x:v>
      </x:c>
      <x:c r="N21" s="15" t="str">
        <x:v>"Rafiq Florist" Goa; "floristrafiq"</x:v>
      </x:c>
      <x:c r="O21" s="20" t="n">
        <x:v>46289</x:v>
      </x:c>
      <x:c r="P21" s="22" t="str">
        <x:v>No contactado</x:v>
      </x:c>
      <x:c r="Q21" s="23"/>
      <x:c r="R21" s="23"/>
      <x:c r="S21" s="24" t="str"/>
      <x:c r="T21" s="15" t="str">
        <x:v>NW-011</x:v>
      </x:c>
      <x:c r="U21" s="32"/>
      <x:c r="V21" s="26" t="str">
        <x:v>https://www.bharatibiz.com/en/rafiq-florist-095273-12385</x:v>
      </x:c>
      <x:c r="W21" s="26" t="str">
        <x:v>https://happynew.day/vendor/rafiq-florist</x:v>
      </x:c>
    </x:row>
    <x:row r="22" ht="78" customHeight="1">
      <x:c r="A22" s="15" t="str">
        <x:v>Media</x:v>
      </x:c>
      <x:c r="B22" s="15" t="str">
        <x:v>Edelweiss Florist</x:v>
      </x:c>
      <x:c r="C22" s="15" t="str">
        <x:v>Florería</x:v>
      </x:c>
      <x:c r="D22" s="15" t="str">
        <x:v>Irlanda</x:v>
      </x:c>
      <x:c r="E22" s="18" t="str">
        <x:v>—</x:v>
      </x:c>
      <x:c r="F22" s="18" t="str">
        <x:v>+353 1 670 8725</x:v>
      </x:c>
      <x:c r="G22" s="25" t="str">
        <x:v>Llamar</x:v>
      </x:c>
      <x:c r="H22" s="15" t="str">
        <x:v>Dublín, Manor Street</x:v>
      </x:c>
      <x:c r="I22" s="15" t="str">
        <x:v>Europa</x:v>
      </x:c>
      <x:c r="J22" s="15" t="str">
        <x:v>Inglés</x:v>
      </x:c>
      <x:c r="K22" s="15" t="str">
        <x:v>Primera web con arreglos florales por ocasión y consultas de entrega.</x:v>
      </x:c>
      <x:c r="L22" s="15" t="str">
        <x:v>Sin web propia encontrada</x:v>
      </x:c>
      <x:c r="M22" s="15" t="str">
        <x:v>BizIreland remite a Facebook sin web. La segunda guía ubica el negocio en Manor Street 57. No se encontró sitio propio para este local. Se descartaron webs de floristas homónimos de otros países.</x:v>
      </x:c>
      <x:c r="N22" s="15" t="str">
        <x:v>"Edelweiss Florist" "Manor"; "Edelweiss" "670 8725"</x:v>
      </x:c>
      <x:c r="O22" s="20" t="n">
        <x:v>46289</x:v>
      </x:c>
      <x:c r="P22" s="22" t="str">
        <x:v>No contactado</x:v>
      </x:c>
      <x:c r="Q22" s="23"/>
      <x:c r="R22" s="23"/>
      <x:c r="S22" s="24" t="str"/>
      <x:c r="T22" s="15" t="str">
        <x:v>NW-009</x:v>
      </x:c>
      <x:c r="U22" s="32"/>
      <x:c r="V22" s="26" t="str">
        <x:v>https://www.bizireland.com/edelweiss-florist-01-670-8725</x:v>
      </x:c>
      <x:c r="W22" s="26" t="str">
        <x:v>https://www.findglocal.com/IE/Dublin/123692-42/genre/192111490806699/Florists/4</x:v>
      </x:c>
    </x:row>
    <x:row r="23" ht="78" customHeight="1">
      <x:c r="A23" s="15" t="str">
        <x:v>Media</x:v>
      </x:c>
      <x:c r="B23" s="15" t="str">
        <x:v>Ajani House Bakery</x:v>
      </x:c>
      <x:c r="C23" s="15" t="str">
        <x:v>Pastelería</x:v>
      </x:c>
      <x:c r="D23" s="15" t="str">
        <x:v>Kenia</x:v>
      </x:c>
      <x:c r="E23" s="18" t="str">
        <x:v>—</x:v>
      </x:c>
      <x:c r="F23" s="18" t="str">
        <x:v>+254 728 439776</x:v>
      </x:c>
      <x:c r="G23" s="25" t="str">
        <x:v>Instagram</x:v>
      </x:c>
      <x:c r="H23" s="15" t="str">
        <x:v>Nairobi</x:v>
      </x:c>
      <x:c r="I23" s="15" t="str">
        <x:v>África</x:v>
      </x:c>
      <x:c r="J23" s="15" t="str">
        <x:v>Inglés</x:v>
      </x:c>
      <x:c r="K23" s="15" t="str">
        <x:v>Primera web con catálogo de tortas, encargos por ocasión y consulta de entrega.</x:v>
      </x:c>
      <x:c r="L23" s="15" t="str">
        <x:v>Sin web propia encontrada</x:v>
      </x:c>
      <x:c r="M23" s="15" t="str">
        <x:v>La ficha con publicaciones de septiembre de 2026 publica teléfono y usa Instagram como web. AfricaBizInfo no declara sitio propio. Búsquedas por nombre no mostraron dominio propio; Intentum publica una reseña del negocio en su portal.</x:v>
      </x:c>
      <x:c r="N23" s="15" t="str">
        <x:v>"Ajani House Bakery"; "Ajani House" website</x:v>
      </x:c>
      <x:c r="O23" s="20" t="n">
        <x:v>46289</x:v>
      </x:c>
      <x:c r="P23" s="22" t="str">
        <x:v>No contactado</x:v>
      </x:c>
      <x:c r="Q23" s="23"/>
      <x:c r="R23" s="23"/>
      <x:c r="S23" s="24" t="str"/>
      <x:c r="T23" s="15" t="str">
        <x:v>NW-014</x:v>
      </x:c>
      <x:c r="U23" s="32"/>
      <x:c r="V23" s="26" t="str">
        <x:v>https://www.restaurants10.com/KE/Nairobi/419071618124259/Ajani-House</x:v>
      </x:c>
      <x:c r="W23" s="26" t="str">
        <x:v>https://www.africabizinfo.com/KE/ajani-house-bakery-0728-439776</x:v>
      </x:c>
    </x:row>
    <x:row r="24" ht="78" customHeight="1">
      <x:c r="A24" s="15" t="str">
        <x:v>Media</x:v>
      </x:c>
      <x:c r="B24" s="15" t="str">
        <x:v>YHA Salon and Studio</x:v>
      </x:c>
      <x:c r="C24" s="15" t="str">
        <x:v>Salón de belleza</x:v>
      </x:c>
      <x:c r="D24" s="15" t="str">
        <x:v>Pakistán</x:v>
      </x:c>
      <x:c r="E24" s="18" t="str">
        <x:v>—</x:v>
      </x:c>
      <x:c r="F24" s="18" t="str">
        <x:v>+92 301 3952135</x:v>
      </x:c>
      <x:c r="G24" s="25" t="str">
        <x:v>Llamar</x:v>
      </x:c>
      <x:c r="H24" s="15" t="str">
        <x:v>Sialkot, Punjab</x:v>
      </x:c>
      <x:c r="I24" s="15" t="str">
        <x:v>Asia</x:v>
      </x:c>
      <x:c r="J24" s="15" t="str">
        <x:v>Inglés (confirmar; urdu local)</x:v>
      </x:c>
      <x:c r="K24" s="15" t="str">
        <x:v>Primera web con servicios del salón, fotografías y consulta de disponibilidad.</x:v>
      </x:c>
      <x:c r="L24" s="15" t="str">
        <x:v>Sin web propia encontrada</x:v>
      </x:c>
      <x:c r="M24" s="15" t="str">
        <x:v>Dos fichas coinciden en teléfono y ubicación. BizSouthAsia remite a Facebook sin web. La búsqueda del nombre y de sitio oficial no mostró web propia. Se dirige al local de Sadar Bazar.</x:v>
      </x:c>
      <x:c r="N24" s="15" t="str">
        <x:v>"YHA Salon and Studio"; "YHA salon" website</x:v>
      </x:c>
      <x:c r="O24" s="20" t="n">
        <x:v>46289</x:v>
      </x:c>
      <x:c r="P24" s="22" t="str">
        <x:v>No contactado</x:v>
      </x:c>
      <x:c r="Q24" s="23"/>
      <x:c r="R24" s="23"/>
      <x:c r="S24" s="24" t="str"/>
      <x:c r="T24" s="15" t="str">
        <x:v>NW-013</x:v>
      </x:c>
      <x:c r="U24" s="32"/>
      <x:c r="V24" s="26" t="str">
        <x:v>https://www.bizsouthasia.com/PK/yha-salon-and-studio-0301-3952135</x:v>
      </x:c>
      <x:c r="W24" s="26" t="str">
        <x:v>https://pk.worldorgs.com/catalog/sialkot/beauty-salon/yha-salon-and-studio</x:v>
      </x:c>
    </x:row>
    <x:row r="25" ht="78" customHeight="1">
      <x:c r="A25" s="15" t="str">
        <x:v>Media</x:v>
      </x:c>
      <x:c r="B25" s="15" t="str">
        <x:v>Cabeleireiro Fernando Amaral</x:v>
      </x:c>
      <x:c r="C25" s="15" t="str">
        <x:v>Peluquería</x:v>
      </x:c>
      <x:c r="D25" s="15" t="str">
        <x:v>Portugal</x:v>
      </x:c>
      <x:c r="E25" s="18" t="str">
        <x:v>—</x:v>
      </x:c>
      <x:c r="F25" s="18" t="str">
        <x:v>+351 22 208 2150</x:v>
      </x:c>
      <x:c r="G25" s="25" t="str">
        <x:v>Llamar</x:v>
      </x:c>
      <x:c r="H25" s="15" t="str">
        <x:v>Porto</x:v>
      </x:c>
      <x:c r="I25" s="15" t="str">
        <x:v>Europa</x:v>
      </x:c>
      <x:c r="J25" s="15" t="str">
        <x:v>Portugués</x:v>
      </x:c>
      <x:c r="K25" s="15" t="str">
        <x:v>Primera web con servicios, presentación del salón y reserva por teléfono.</x:v>
      </x:c>
      <x:c r="L25" s="15" t="str">
        <x:v>Sin web propia encontrada</x:v>
      </x:c>
      <x:c r="M25" s="15" t="str">
        <x:v>TodosNegócio remite a Facebook sin web propia. SabeMais coincide en nombre, teléfono y plaza Humberto Delgado. La búsqueda del nombre y teléfono no mostró sitio propio.</x:v>
      </x:c>
      <x:c r="N25" s="15" t="str">
        <x:v>"Cabeleireiro Fernando Amaral"; "222082150"</x:v>
      </x:c>
      <x:c r="O25" s="20" t="n">
        <x:v>46289</x:v>
      </x:c>
      <x:c r="P25" s="22" t="str">
        <x:v>No contactado</x:v>
      </x:c>
      <x:c r="Q25" s="23"/>
      <x:c r="R25" s="23"/>
      <x:c r="S25" s="24" t="str"/>
      <x:c r="T25" s="15" t="str">
        <x:v>NW-007</x:v>
      </x:c>
      <x:c r="U25" s="32"/>
      <x:c r="V25" s="26" t="str">
        <x:v>https://www.todosnegocio.com/cabeleireiro-fernando-amaral-22-208-2150</x:v>
      </x:c>
      <x:c r="W25" s="26" t="str">
        <x:v>https://www.sabemais.pt/categoria-results/3009/26</x:v>
      </x:c>
    </x:row>
    <x:row r="26" ht="78" customHeight="1">
      <x:c r="A26" s="15" t="str">
        <x:v>Media</x:v>
      </x:c>
      <x:c r="B26" s="15" t="str">
        <x:v>Telma Cabeleireiro</x:v>
      </x:c>
      <x:c r="C26" s="15" t="str">
        <x:v>Peluquería</x:v>
      </x:c>
      <x:c r="D26" s="15" t="str">
        <x:v>Portugal</x:v>
      </x:c>
      <x:c r="E26" s="18" t="str">
        <x:v>—</x:v>
      </x:c>
      <x:c r="F26" s="18" t="str">
        <x:v>+351 918 795 692</x:v>
      </x:c>
      <x:c r="G26" s="25" t="str">
        <x:v>Llamar</x:v>
      </x:c>
      <x:c r="H26" s="15" t="str">
        <x:v>Almada, Setúbal</x:v>
      </x:c>
      <x:c r="I26" s="15" t="str">
        <x:v>Europa</x:v>
      </x:c>
      <x:c r="J26" s="15" t="str">
        <x:v>Portugués</x:v>
      </x:c>
      <x:c r="K26" s="15" t="str">
        <x:v>Primera web con cortes y color, fotografías y consultas para citas.</x:v>
      </x:c>
      <x:c r="L26" s="15" t="str">
        <x:v>Sin web propia encontrada</x:v>
      </x:c>
      <x:c r="M26" s="15" t="str">
        <x:v>Dos fichas coinciden en teléfono y apuntan a Facebook. Sin sitio propio encontrado para Almada. El resultado de Telma Carreira corresponde a Leiria, otro negocio. Las fichas difieren en dirección exacta: confirmarla al preparar la propuesta.</x:v>
      </x:c>
      <x:c r="N26" s="15" t="str">
        <x:v>"Telma Cabeleireiro" Almada; "Telma Cabeleireiro" "website"; "Telma Carreira Cabeleireiros" contacto</x:v>
      </x:c>
      <x:c r="O26" s="20" t="n">
        <x:v>46289</x:v>
      </x:c>
      <x:c r="P26" s="22" t="str">
        <x:v>No contactado</x:v>
      </x:c>
      <x:c r="Q26" s="23"/>
      <x:c r="R26" s="23"/>
      <x:c r="S26" s="24" t="str"/>
      <x:c r="T26" s="15" t="str">
        <x:v>NW-008</x:v>
      </x:c>
      <x:c r="U26" s="32"/>
      <x:c r="V26" s="26" t="str">
        <x:v>https://www.todosnegocio.com/telma-cabeleireiro_1c-918-795-692</x:v>
      </x:c>
      <x:c r="W26" s="26" t="str">
        <x:v>https://esteticaperto.com/cabeleireiros/almada/telma-cabeleireiro/</x:v>
      </x:c>
    </x:row>
    <x:row r="27" ht="78" customHeight="1">
      <x:c r="A27" s="15" t="str">
        <x:v>Media</x:v>
      </x:c>
      <x:c r="B27" s="15" t="str">
        <x:v>Namu'a Island Beach Fales</x:v>
      </x:c>
      <x:c r="C27" s="15" t="str">
        <x:v>Alojamiento turístico</x:v>
      </x:c>
      <x:c r="D27" s="15" t="str">
        <x:v>Samoa</x:v>
      </x:c>
      <x:c r="E27" s="18" t="str">
        <x:v>namuaislandbeachfales@gmail.com</x:v>
      </x:c>
      <x:c r="F27" s="18" t="str">
        <x:v>+685 7588209</x:v>
      </x:c>
      <x:c r="G27" s="25" t="str">
        <x:v>Enviar email</x:v>
      </x:c>
      <x:c r="H27" s="15" t="str">
        <x:v>Isla Namu'a, Aleipata</x:v>
      </x:c>
      <x:c r="I27" s="15" t="str">
        <x:v>Oceanía</x:v>
      </x:c>
      <x:c r="J27" s="15" t="str">
        <x:v>Inglés</x:v>
      </x:c>
      <x:c r="K27" s="15" t="str">
        <x:v>Primera web con alojamiento, traslado en barco y consultas de disponibilidad.</x:v>
      </x:c>
      <x:c r="L27" s="15" t="str">
        <x:v>Sin web propia encontrada</x:v>
      </x:c>
      <x:c r="M27" s="15" t="str">
        <x:v>La autoridad de turismo publica teléfono, email y redes, sin enlace a sitio propio. Las búsquedas por nombre y variante mostraron portales turísticos y reseñas. No se encontró web propia. La apertura directa tuvo timeout; se leyó el índice.</x:v>
      </x:c>
      <x:c r="N27" s="15" t="str">
        <x:v>"Namu'a Island Beach Fales"; "Namu'a Island Beach Fales" contact email; "Namua" "website" beach fales</x:v>
      </x:c>
      <x:c r="O27" s="20" t="n">
        <x:v>46289</x:v>
      </x:c>
      <x:c r="P27" s="22" t="str">
        <x:v>No contactado</x:v>
      </x:c>
      <x:c r="Q27" s="23"/>
      <x:c r="R27" s="23"/>
      <x:c r="S27" s="24" t="str"/>
      <x:c r="T27" s="15" t="str">
        <x:v>GL-069</x:v>
      </x:c>
      <x:c r="U27" s="32"/>
      <x:c r="V27" s="26" t="str">
        <x:v>https://www.samoa.travel/plan-book/samoa-accommodation/namua-island-beach-fales/</x:v>
      </x:c>
      <x:c r="W27" s="26" t="str">
        <x:v>https://www.samoa.travel/plan-book/activities/namua-island/</x:v>
      </x:c>
    </x:row>
    <x:row r="28" ht="78" customHeight="1">
      <x:c r="A28" s="15" t="str">
        <x:v>Media</x:v>
      </x:c>
      <x:c r="B28" s="15" t="str">
        <x:v>Bellalicious Cakes</x:v>
      </x:c>
      <x:c r="C28" s="15" t="str">
        <x:v>Pastelería por encargo</x:v>
      </x:c>
      <x:c r="D28" s="15" t="str">
        <x:v>Sudáfrica</x:v>
      </x:c>
      <x:c r="E28" s="18" t="str">
        <x:v>cakes.bellalicious@gmail.com</x:v>
      </x:c>
      <x:c r="F28" s="18" t="str">
        <x:v>+27 83 709 2529</x:v>
      </x:c>
      <x:c r="G28" s="25" t="str">
        <x:v>Enviar email</x:v>
      </x:c>
      <x:c r="H28" s="15" t="str">
        <x:v>Johannesburgo, Gauteng</x:v>
      </x:c>
      <x:c r="I28" s="15" t="str">
        <x:v>África</x:v>
      </x:c>
      <x:c r="J28" s="15" t="str">
        <x:v>Inglés</x:v>
      </x:c>
      <x:c r="K28" s="15" t="str">
        <x:v>Primera web con diseños de tortas y formulario de encargo con fecha, porciones y temática.</x:v>
      </x:c>
      <x:c r="L28" s="15" t="str">
        <x:v>Sin web propia encontrada</x:v>
      </x:c>
      <x:c r="M28" s="15" t="str">
        <x:v>AfricaBizInfo remite a Facebook sin web y publica email/teléfono. La segunda guía identifica la pastelería en Johannesburgo. Las búsquedas por nombre, ciudad y email no mostraron sitio propio. Confirmar zona de entrega.</x:v>
      </x:c>
      <x:c r="N28" s="15" t="str">
        <x:v>"Bellalicious Cakes" Johannesburg; "cakes.bellalicious@gmail.com"; "Bellalicious Cakes" "Kensington"</x:v>
      </x:c>
      <x:c r="O28" s="20" t="n">
        <x:v>46289</x:v>
      </x:c>
      <x:c r="P28" s="22" t="str">
        <x:v>No contactado</x:v>
      </x:c>
      <x:c r="Q28" s="23"/>
      <x:c r="R28" s="23"/>
      <x:c r="S28" s="24" t="str"/>
      <x:c r="T28" s="15" t="str">
        <x:v>NW-015</x:v>
      </x:c>
      <x:c r="U28" s="32"/>
      <x:c r="V28" s="26" t="str">
        <x:v>https://www.africabizinfo.com/ZA/bellalicious-cakes-083-709-2529</x:v>
      </x:c>
      <x:c r="W28" s="26" t="str">
        <x:v>https://www.findglocal.com/ZA/Johannesburg/1494231-27/2</x:v>
      </x:c>
    </x:row>
    <x:row r="29" ht="64" customHeight="1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  <x:c r="V29"/>
      <x:c r="W29"/>
    </x:row>
    <x:row r="30" ht="64" customHeight="1">
      <x:c r="A30"/>
      <x:c r="B30"/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</x:row>
    <x:row r="31" ht="64" customHeight="1">
      <x:c r="A31"/>
      <x:c r="B31"/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</x:row>
    <x:row r="32" ht="64" customHeight="1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  <x:c r="W32"/>
    </x:row>
    <x:row r="33" ht="64" customHeight="1">
      <x:c r="A33"/>
      <x:c r="B33"/>
      <x:c r="C33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  <x:c r="Q33"/>
      <x:c r="R33"/>
      <x:c r="S33"/>
      <x:c r="T33"/>
      <x:c r="U33"/>
      <x:c r="V33"/>
      <x:c r="W33"/>
    </x:row>
    <x:row r="34" ht="64" customHeight="1">
      <x:c r="A34"/>
      <x:c r="B34"/>
      <x:c r="C34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  <x:c r="Q34"/>
      <x:c r="R34"/>
      <x:c r="S34"/>
      <x:c r="T34"/>
      <x:c r="U34"/>
      <x:c r="V34"/>
      <x:c r="W34"/>
    </x:row>
    <x:row r="35" ht="64" customHeight="1">
      <x:c r="A35"/>
      <x:c r="B35"/>
      <x:c r="C35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  <x:c r="Q35"/>
      <x:c r="R35"/>
      <x:c r="S35"/>
      <x:c r="T35"/>
      <x:c r="U35"/>
      <x:c r="V35"/>
      <x:c r="W35"/>
    </x:row>
    <x:row r="36" ht="64" customHeight="1">
      <x:c r="A36"/>
      <x:c r="B36"/>
      <x:c r="C36"/>
      <x:c r="D36"/>
      <x:c r="E36"/>
      <x:c r="F36"/>
      <x:c r="G36"/>
      <x:c r="H36"/>
      <x:c r="I36"/>
      <x:c r="J36"/>
      <x:c r="K36"/>
      <x:c r="L36"/>
      <x:c r="M36"/>
      <x:c r="N36"/>
      <x:c r="O36"/>
      <x:c r="P36"/>
      <x:c r="Q36"/>
      <x:c r="R36"/>
      <x:c r="S36"/>
      <x:c r="T36"/>
      <x:c r="U36"/>
      <x:c r="V36"/>
      <x:c r="W36"/>
    </x:row>
    <x:row r="37" ht="64" customHeight="1">
      <x:c r="A37"/>
      <x:c r="B37"/>
      <x:c r="C37"/>
      <x:c r="D37"/>
      <x:c r="E37"/>
      <x:c r="F37"/>
      <x:c r="G37"/>
      <x:c r="H37"/>
      <x:c r="I37"/>
      <x:c r="J37"/>
      <x:c r="K37"/>
      <x:c r="L37"/>
      <x:c r="M37"/>
      <x:c r="N37"/>
      <x:c r="O37"/>
      <x:c r="P37"/>
      <x:c r="Q37"/>
      <x:c r="R37"/>
      <x:c r="S37"/>
      <x:c r="T37"/>
      <x:c r="U37"/>
      <x:c r="V37"/>
      <x:c r="W37"/>
    </x:row>
    <x:row r="38" ht="64" customHeight="1">
      <x:c r="A38"/>
      <x:c r="B38"/>
      <x:c r="C38"/>
      <x:c r="D38"/>
      <x:c r="E38"/>
      <x:c r="F38"/>
      <x:c r="G38"/>
      <x:c r="H38"/>
      <x:c r="I38"/>
      <x:c r="J38"/>
      <x:c r="K38"/>
      <x:c r="L38"/>
      <x:c r="M38"/>
      <x:c r="N38"/>
      <x:c r="O38"/>
      <x:c r="P38"/>
      <x:c r="Q38"/>
      <x:c r="R38"/>
      <x:c r="S38"/>
      <x:c r="T38"/>
      <x:c r="U38"/>
      <x:c r="V38"/>
      <x:c r="W38"/>
    </x:row>
    <x:row r="39" ht="64" customHeight="1">
      <x:c r="A39"/>
      <x:c r="B39"/>
      <x:c r="C39"/>
      <x:c r="D39"/>
      <x:c r="E39"/>
      <x:c r="F39"/>
      <x:c r="G39"/>
      <x:c r="H39"/>
      <x:c r="I39"/>
      <x:c r="J39"/>
      <x:c r="K39"/>
      <x:c r="L39"/>
      <x:c r="M39"/>
      <x:c r="N39"/>
      <x:c r="O39"/>
      <x:c r="P39"/>
      <x:c r="Q39"/>
      <x:c r="R39"/>
      <x:c r="S39"/>
      <x:c r="T39"/>
      <x:c r="U39"/>
      <x:c r="V39"/>
      <x:c r="W39"/>
    </x:row>
    <x:row r="40" ht="64" customHeight="1">
      <x:c r="A40"/>
      <x:c r="B40"/>
      <x:c r="C40"/>
      <x:c r="D40"/>
      <x:c r="E40"/>
      <x:c r="F40"/>
      <x:c r="G40"/>
      <x:c r="H40"/>
      <x:c r="I40"/>
      <x:c r="J40"/>
      <x:c r="K40"/>
      <x:c r="L40"/>
      <x:c r="M40"/>
      <x:c r="N40"/>
      <x:c r="O40"/>
      <x:c r="P40"/>
      <x:c r="Q40"/>
      <x:c r="R40"/>
      <x:c r="S40"/>
      <x:c r="T40"/>
      <x:c r="U40"/>
      <x:c r="V40"/>
      <x:c r="W40"/>
    </x:row>
    <x:row r="41" ht="64" customHeight="1">
      <x:c r="A41"/>
      <x:c r="B41"/>
      <x:c r="C41"/>
      <x:c r="D41"/>
      <x:c r="E41"/>
      <x:c r="F41"/>
      <x:c r="G41"/>
      <x:c r="H41"/>
      <x:c r="I41"/>
      <x:c r="J41"/>
      <x:c r="K41"/>
      <x:c r="L41"/>
      <x:c r="M41"/>
      <x:c r="N41"/>
      <x:c r="O41"/>
      <x:c r="P41"/>
      <x:c r="Q41"/>
      <x:c r="R41"/>
      <x:c r="S41"/>
      <x:c r="T41"/>
      <x:c r="U41"/>
      <x:c r="V41"/>
      <x:c r="W41"/>
    </x:row>
    <x:row r="42" ht="64" customHeight="1">
      <x:c r="A42"/>
      <x:c r="B42"/>
      <x:c r="C42"/>
      <x:c r="D42"/>
      <x:c r="E42"/>
      <x:c r="F42"/>
      <x:c r="G42"/>
      <x:c r="H42"/>
      <x:c r="I42"/>
      <x:c r="J42"/>
      <x:c r="K42"/>
      <x:c r="L42"/>
      <x:c r="M42"/>
      <x:c r="N42"/>
      <x:c r="O42"/>
      <x:c r="P42"/>
      <x:c r="Q42"/>
      <x:c r="R42"/>
      <x:c r="S42"/>
      <x:c r="T42"/>
      <x:c r="U42"/>
      <x:c r="V42"/>
      <x:c r="W42"/>
    </x:row>
    <x:row r="43" ht="64" customHeight="1">
      <x:c r="A43"/>
      <x:c r="B43"/>
      <x:c r="C43"/>
      <x:c r="D43"/>
      <x:c r="E43"/>
      <x:c r="F43"/>
      <x:c r="G43"/>
      <x:c r="H43"/>
      <x:c r="I43"/>
      <x:c r="J43"/>
      <x:c r="K43"/>
      <x:c r="L43"/>
      <x:c r="M43"/>
      <x:c r="N43"/>
      <x:c r="O43"/>
      <x:c r="P43"/>
      <x:c r="Q43"/>
      <x:c r="R43"/>
      <x:c r="S43"/>
      <x:c r="T43"/>
      <x:c r="U43"/>
      <x:c r="V43"/>
      <x:c r="W43"/>
    </x:row>
    <x:row r="44" ht="64" customHeight="1">
      <x:c r="A44"/>
      <x:c r="B44"/>
      <x:c r="C44"/>
      <x:c r="D44"/>
      <x:c r="E44"/>
      <x:c r="F44"/>
      <x:c r="G44"/>
      <x:c r="H44"/>
      <x:c r="I44"/>
      <x:c r="J44"/>
      <x:c r="K44"/>
      <x:c r="L44"/>
      <x:c r="M44"/>
      <x:c r="N44"/>
      <x:c r="O44"/>
      <x:c r="P44"/>
      <x:c r="Q44"/>
      <x:c r="R44"/>
      <x:c r="S44"/>
      <x:c r="T44"/>
      <x:c r="U44"/>
      <x:c r="V44"/>
      <x:c r="W44"/>
    </x:row>
    <x:row r="45" ht="64" customHeight="1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  <x:c r="N45"/>
      <x:c r="O45"/>
      <x:c r="P45"/>
      <x:c r="Q45"/>
      <x:c r="R45"/>
      <x:c r="S45"/>
      <x:c r="T45"/>
      <x:c r="U45"/>
      <x:c r="V45"/>
      <x:c r="W45"/>
    </x:row>
    <x:row r="46" ht="64" customHeight="1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</x:row>
    <x:row r="47" ht="64" customHeight="1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  <x:c r="O47"/>
      <x:c r="P47"/>
      <x:c r="Q47"/>
      <x:c r="R47"/>
      <x:c r="S47"/>
      <x:c r="T47"/>
      <x:c r="U47"/>
      <x:c r="V47"/>
      <x:c r="W47"/>
    </x:row>
    <x:row r="48" ht="64" customHeight="1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</x:row>
    <x:row r="49" ht="64" customHeight="1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</x:row>
    <x:row r="50" ht="64" customHeight="1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  <x:c r="R50"/>
      <x:c r="S50"/>
      <x:c r="T50"/>
      <x:c r="U50"/>
      <x:c r="V50"/>
      <x:c r="W50"/>
    </x:row>
    <x:row r="51" ht="64" customHeight="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</x:row>
    <x:row r="52" ht="64" customHeight="1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  <x:c r="R52"/>
      <x:c r="S52"/>
      <x:c r="T52"/>
      <x:c r="U52"/>
      <x:c r="V52"/>
      <x:c r="W52"/>
    </x:row>
    <x:row r="53" ht="64" customHeight="1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</x:row>
    <x:row r="54" ht="64" customHeight="1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</x:row>
    <x:row r="55" ht="64" customHeight="1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</x:row>
    <x:row r="56" ht="64" customHeight="1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</x:row>
    <x:row r="57" ht="64" customHeight="1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</x:row>
    <x:row r="58" ht="64" customHeight="1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  <x:c r="W58"/>
    </x:row>
    <x:row r="59" ht="64" customHeight="1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</x:row>
    <x:row r="60" ht="64" customHeight="1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</x:row>
    <x:row r="61" ht="64" customHeight="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</x:row>
    <x:row r="62" ht="64" customHeight="1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</x:row>
    <x:row r="63" ht="64" customHeight="1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</x:row>
    <x:row r="64" ht="64" customHeight="1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</x:row>
    <x:row r="65" ht="64" customHeight="1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</x:row>
    <x:row r="66" ht="64" customHeight="1">
      <x:c r="A66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/>
      <x:c r="R66"/>
      <x:c r="S66"/>
      <x:c r="T66"/>
      <x:c r="U66"/>
      <x:c r="V66"/>
      <x:c r="W66"/>
    </x:row>
    <x:row r="67" ht="64" customHeight="1">
      <x:c r="A67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</x:row>
    <x:row r="68" ht="64" customHeight="1">
      <x:c r="A68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</x:row>
    <x:row r="69" ht="64" customHeight="1">
      <x:c r="A69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</x:row>
    <x:row r="70" ht="64" customHeight="1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</x:row>
    <x:row r="71" ht="64" customHeight="1">
      <x:c r="A71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</x:row>
    <x:row r="72" ht="64" customHeight="1">
      <x:c r="A7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</x:row>
    <x:row r="73" ht="64" customHeight="1">
      <x:c r="A73"/>
      <x:c r="B73"/>
      <x:c r="C73"/>
      <x:c r="D73"/>
      <x:c r="E73"/>
      <x:c r="F73"/>
      <x:c r="G73"/>
      <x:c r="H73"/>
      <x:c r="I73"/>
      <x:c r="J73"/>
      <x:c r="K73"/>
      <x:c r="L73"/>
      <x:c r="M73"/>
      <x:c r="N73"/>
      <x:c r="O73"/>
      <x:c r="P73"/>
      <x:c r="Q73"/>
      <x:c r="R73"/>
      <x:c r="S73"/>
      <x:c r="T73"/>
      <x:c r="U73"/>
      <x:c r="V73"/>
      <x:c r="W73"/>
    </x:row>
    <x:row r="74" ht="64" customHeight="1">
      <x:c r="A74"/>
      <x:c r="B74"/>
      <x:c r="C74"/>
      <x:c r="D74"/>
      <x:c r="E74"/>
      <x:c r="F74"/>
      <x:c r="G74"/>
      <x:c r="H74"/>
      <x:c r="I74"/>
      <x:c r="J74"/>
      <x:c r="K74"/>
      <x:c r="L74"/>
      <x:c r="M74"/>
      <x:c r="N74"/>
      <x:c r="O74"/>
      <x:c r="P74"/>
      <x:c r="Q74"/>
      <x:c r="R74"/>
      <x:c r="S74"/>
      <x:c r="T74"/>
      <x:c r="U74"/>
      <x:c r="V74"/>
      <x:c r="W74"/>
    </x:row>
    <x:row r="75" ht="64" customHeight="1">
      <x:c r="A75"/>
      <x:c r="B75"/>
      <x:c r="C75"/>
      <x:c r="D75"/>
      <x:c r="E75"/>
      <x:c r="F75"/>
      <x:c r="G75"/>
      <x:c r="H75"/>
      <x:c r="I75"/>
      <x:c r="J75"/>
      <x:c r="K75"/>
      <x:c r="L75"/>
      <x:c r="M75"/>
      <x:c r="N75"/>
      <x:c r="O75"/>
      <x:c r="P75"/>
      <x:c r="Q75"/>
      <x:c r="R75"/>
      <x:c r="S75"/>
      <x:c r="T75"/>
      <x:c r="U75"/>
      <x:c r="V75"/>
      <x:c r="W75"/>
    </x:row>
    <x:row r="76" ht="64" customHeight="1">
      <x:c r="A76"/>
      <x:c r="B76"/>
      <x:c r="C76"/>
      <x:c r="D76"/>
      <x:c r="E76"/>
      <x:c r="F76"/>
      <x:c r="G76"/>
      <x:c r="H76"/>
      <x:c r="I76"/>
      <x:c r="J76"/>
      <x:c r="K76"/>
      <x:c r="L76"/>
      <x:c r="M76"/>
      <x:c r="N76"/>
      <x:c r="O76"/>
      <x:c r="P76"/>
      <x:c r="Q76"/>
      <x:c r="R76"/>
      <x:c r="S76"/>
      <x:c r="T76"/>
      <x:c r="U76"/>
      <x:c r="V76"/>
      <x:c r="W76"/>
    </x:row>
    <x:row r="77" ht="64" customHeight="1">
      <x:c r="A77"/>
      <x:c r="B77"/>
      <x:c r="C77"/>
      <x:c r="D77"/>
      <x:c r="E77"/>
      <x:c r="F77"/>
      <x:c r="G77"/>
      <x:c r="H77"/>
      <x:c r="I77"/>
      <x:c r="J77"/>
      <x:c r="K77"/>
      <x:c r="L77"/>
      <x:c r="M77"/>
      <x:c r="N77"/>
      <x:c r="O77"/>
      <x:c r="P77"/>
      <x:c r="Q77"/>
      <x:c r="R77"/>
      <x:c r="S77"/>
      <x:c r="T77"/>
      <x:c r="U77"/>
      <x:c r="V77"/>
      <x:c r="W77"/>
    </x:row>
    <x:row r="78" ht="64" customHeight="1">
      <x:c r="A78"/>
      <x:c r="B78"/>
      <x:c r="C78"/>
      <x:c r="D78"/>
      <x:c r="E78"/>
      <x:c r="F78"/>
      <x:c r="G78"/>
      <x:c r="H78"/>
      <x:c r="I78"/>
      <x:c r="J78"/>
      <x:c r="K78"/>
      <x:c r="L78"/>
      <x:c r="M78"/>
      <x:c r="N78"/>
      <x:c r="O78"/>
      <x:c r="P78"/>
      <x:c r="Q78"/>
      <x:c r="R78"/>
      <x:c r="S78"/>
      <x:c r="T78"/>
      <x:c r="U78"/>
      <x:c r="V78"/>
      <x:c r="W78"/>
    </x:row>
    <x:row r="79" ht="64" customHeight="1">
      <x:c r="A79"/>
      <x:c r="B79"/>
      <x:c r="C79"/>
      <x:c r="D79"/>
      <x:c r="E79"/>
      <x:c r="F79"/>
      <x:c r="G79"/>
      <x:c r="H79"/>
      <x:c r="I79"/>
      <x:c r="J79"/>
      <x:c r="K79"/>
      <x:c r="L79"/>
      <x:c r="M79"/>
      <x:c r="N79"/>
      <x:c r="O79"/>
      <x:c r="P79"/>
      <x:c r="Q79"/>
      <x:c r="R79"/>
      <x:c r="S79"/>
      <x:c r="T79"/>
      <x:c r="U79"/>
      <x:c r="V79"/>
      <x:c r="W79"/>
    </x:row>
    <x:row r="80" ht="64" customHeight="1">
      <x:c r="A80"/>
      <x:c r="B80"/>
      <x:c r="C80"/>
      <x:c r="D80"/>
      <x:c r="E80"/>
      <x:c r="F80"/>
      <x:c r="G80"/>
      <x:c r="H80"/>
      <x:c r="I80"/>
      <x:c r="J80"/>
      <x:c r="K80"/>
      <x:c r="L80"/>
      <x:c r="M80"/>
      <x:c r="N80"/>
      <x:c r="O80"/>
      <x:c r="P80"/>
      <x:c r="Q80"/>
      <x:c r="R80"/>
      <x:c r="S80"/>
      <x:c r="T80"/>
      <x:c r="U80"/>
      <x:c r="V80"/>
      <x:c r="W80"/>
    </x:row>
  </x:sheetData>
  <x:conditionalFormatting sqref="A9:A80">
    <x:cfRule type="containsText" dxfId="0" priority="1" operator="containsText" text="Alta"/>
    <x:cfRule type="containsText" dxfId="1" priority="2" operator="containsText" text="Media"/>
    <x:cfRule type="containsText" dxfId="2" priority="3" operator="containsText" text="Revalidar"/>
    <x:cfRule type="containsText" dxfId="3" priority="4" operator="containsText" text="No priorizar"/>
  </x:conditionalFormatting>
  <x:conditionalFormatting sqref="P9:P80">
    <x:cfRule type="containsText" dxfId="4" priority="5" operator="containsText" text="No contactar"/>
  </x:conditionalFormatting>
  <x:dataValidations count="4">
    <x:dataValidation type="list" sqref="A9:A80">
      <x:formula1>"Alta,Media,Revalidar,No priorizar"</x:formula1>
    </x:dataValidation>
    <x:dataValidation type="list" sqref="P9:P80">
      <x:formula1>"No contactado,Contactado,Respondió,Propuesta enviada,Seguimiento,Cliente,No interesado,No contactar"</x:formula1>
    </x:dataValidation>
    <x:dataValidation type="list" sqref="A9:A28">
      <x:formula1>"Alta,Media"</x:formula1>
    </x:dataValidation>
    <x:dataValidation type="list" sqref="P9:P28">
      <x:formula1>"No contactado,Contactado,Respondió,Propuesta enviada,Seguimiento,Cliente,No interesado,Ya tiene web,No contactar"</x:formula1>
    </x:dataValidation>
  </x:dataValidations>
  <x:hyperlinks>
    <x:hyperlink ref="G9" r:id="rIdLeadLink1"/>
    <x:hyperlink ref="V9" r:id="rIdLeadLink2"/>
    <x:hyperlink ref="W9" r:id="rIdLeadLink3"/>
    <x:hyperlink ref="G10" r:id="rIdLeadLink4"/>
    <x:hyperlink ref="V10" r:id="rIdLeadLink5"/>
    <x:hyperlink ref="W10" r:id="rIdLeadLink6"/>
    <x:hyperlink ref="G11" r:id="rIdLeadLink7"/>
    <x:hyperlink ref="V11" r:id="rIdLeadLink8"/>
    <x:hyperlink ref="W11" r:id="rIdLeadLink9"/>
    <x:hyperlink ref="G12" r:id="rIdLeadLink10"/>
    <x:hyperlink ref="V12" r:id="rIdLeadLink11"/>
    <x:hyperlink ref="W12" r:id="rIdLeadLink12"/>
    <x:hyperlink ref="G13" r:id="rIdLeadLink13"/>
    <x:hyperlink ref="V13" r:id="rIdLeadLink14"/>
    <x:hyperlink ref="W13" r:id="rIdLeadLink15"/>
    <x:hyperlink ref="G14" r:id="rIdLeadLink16"/>
    <x:hyperlink ref="V14" r:id="rIdLeadLink17"/>
    <x:hyperlink ref="W14" r:id="rIdLeadLink18"/>
    <x:hyperlink ref="G15" r:id="rIdLeadLink19"/>
    <x:hyperlink ref="V15" r:id="rIdLeadLink20"/>
    <x:hyperlink ref="W15" r:id="rIdLeadLink21"/>
    <x:hyperlink ref="G16" r:id="rIdLeadLink22"/>
    <x:hyperlink ref="V16" r:id="rIdLeadLink23"/>
    <x:hyperlink ref="W16" r:id="rIdLeadLink24"/>
    <x:hyperlink ref="G17" r:id="rIdLeadLink25"/>
    <x:hyperlink ref="V17" r:id="rIdLeadLink26"/>
    <x:hyperlink ref="W17" r:id="rIdLeadLink27"/>
    <x:hyperlink ref="G18" r:id="rIdLeadLink28"/>
    <x:hyperlink ref="V18" r:id="rIdLeadLink29"/>
    <x:hyperlink ref="W18" r:id="rIdLeadLink30"/>
    <x:hyperlink ref="G19" r:id="rIdLeadLink31"/>
    <x:hyperlink ref="V19" r:id="rIdLeadLink32"/>
    <x:hyperlink ref="W19" r:id="rIdLeadLink33"/>
    <x:hyperlink ref="G20" r:id="rIdLeadLink34"/>
    <x:hyperlink ref="V20" r:id="rIdLeadLink35"/>
    <x:hyperlink ref="W20" r:id="rIdLeadLink36"/>
    <x:hyperlink ref="G21" r:id="rIdLeadLink37"/>
    <x:hyperlink ref="V21" r:id="rIdLeadLink38"/>
    <x:hyperlink ref="W21" r:id="rIdLeadLink39"/>
    <x:hyperlink ref="G22" r:id="rIdLeadLink40"/>
    <x:hyperlink ref="V22" r:id="rIdLeadLink41"/>
    <x:hyperlink ref="W22" r:id="rIdLeadLink42"/>
    <x:hyperlink ref="G23" r:id="rIdLeadLink43"/>
    <x:hyperlink ref="V23" r:id="rIdLeadLink44"/>
    <x:hyperlink ref="W23" r:id="rIdLeadLink45"/>
    <x:hyperlink ref="G24" r:id="rIdLeadLink46"/>
    <x:hyperlink ref="V24" r:id="rIdLeadLink47"/>
    <x:hyperlink ref="W24" r:id="rIdLeadLink48"/>
    <x:hyperlink ref="G25" r:id="rIdLeadLink49"/>
    <x:hyperlink ref="V25" r:id="rIdLeadLink50"/>
    <x:hyperlink ref="W25" r:id="rIdLeadLink51"/>
    <x:hyperlink ref="G26" r:id="rIdLeadLink52"/>
    <x:hyperlink ref="V26" r:id="rIdLeadLink53"/>
    <x:hyperlink ref="W26" r:id="rIdLeadLink54"/>
    <x:hyperlink ref="G27" r:id="rIdLeadLink55"/>
    <x:hyperlink ref="V27" r:id="rIdLeadLink56"/>
    <x:hyperlink ref="W27" r:id="rIdLeadLink57"/>
    <x:hyperlink ref="G28" r:id="rIdLeadLink58"/>
    <x:hyperlink ref="V28" r:id="rIdLeadLink59"/>
    <x:hyperlink ref="W28" r:id="rIdLeadLink60"/>
  </x:hyperlinks>
  <x:pageMargins left="0.7" right="0.7" top="0.75" bottom="0.75" header="0.3" footer="0.3"/>
  <x:tableParts count="1">
    <x:tablePart r:id="R1f678450e1064acf"/>
  </x:tableParts>
</x:worksheet>
</file>

<file path=xl/worksheets/sheet2.xml><?xml version="1.0" encoding="utf-8"?>
<x:worksheet xmlns:x="http://schemas.openxmlformats.org/spreadsheetml/2006/main">
  <x:sheetPr>
    <x:tabColor rgb="FF0F766E"/>
  </x:sheetPr>
  <x:sheetViews>
    <x:sheetView showGridLines="0" workbookViewId="0"/>
  </x:sheetViews>
  <x:sheetFormatPr defaultRowHeight="15"/>
  <x:cols>
    <x:col min="1" max="1" width="21.8799991607666" hidden="0" customWidth="1"/>
    <x:col min="2" max="2" width="30.6299991607666" hidden="0" customWidth="1"/>
    <x:col min="3" max="3" width="57.5" hidden="0" customWidth="1"/>
    <x:col min="4" max="4" width="51.25" hidden="0" customWidth="1"/>
    <x:col min="5" max="5" width="26.25" hidden="0" customWidth="1"/>
    <x:col min="6" max="6" width="3" hidden="0" customWidth="1"/>
    <x:col min="7" max="7" width="20" hidden="0" customWidth="1"/>
    <x:col min="8" max="8" width="22.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 ht="28" customHeight="1">
      <x:c r="A2" s="3" t="str">
        <x:v>Guía de contacto y mensajes adaptables</x:v>
      </x:c>
      <x:c r="B2" s="3"/>
      <x:c r="C2" s="3"/>
      <x:c r="D2" s="3"/>
      <x:c r="E2" s="3"/>
      <x:c r="F2" s="3"/>
      <x:c r="G2" s="3"/>
      <x:c r="H2" s="3"/>
    </x:row>
    <x:row r="3">
      <x:c r="A3" s="2"/>
      <x:c r="B3" s="2"/>
      <x:c r="C3" s="2"/>
      <x:c r="D3" s="2"/>
      <x:c r="E3" s="2"/>
      <x:c r="F3" s="2"/>
      <x:c r="G3" s="2"/>
      <x:c r="H3" s="2"/>
    </x:row>
    <x:row r="4" ht="58" customHeight="1">
      <x:c r="A4" s="13" t="str">
        <x:v>Uso de la lista</x:v>
      </x:c>
      <x:c r="B4" s="15" t="str">
        <x:v>La lista se reemplazó por 20 candidatos a una primera web. Filtrá por rubro, país o idioma y elegí una propuesta concreta de la columna K.</x:v>
      </x:c>
      <x:c r="C4" s="15"/>
      <x:c r="D4" s="15"/>
      <x:c r="E4" s="15"/>
      <x:c r="F4" s="2"/>
      <x:c r="G4" s="2"/>
      <x:c r="H4" s="2"/>
    </x:row>
    <x:row r="5" ht="58" customHeight="1">
      <x:c r="A5" s="13" t="str">
        <x:v>Filtro aplicado</x:v>
      </x:c>
      <x:c r="B5" s="15" t="str">
        <x:v>Sin sitio propio encontrado en búsquedas por nombre, localidad y variantes o contacto. Se contrastaron fichas públicas. No se incluyen negocios con web propia encontrada, dominios históricos sin resolver o cierre declarado.</x:v>
      </x:c>
      <x:c r="C5" s="15"/>
      <x:c r="D5" s="15"/>
      <x:c r="E5" s="15"/>
      <x:c r="F5" s="2"/>
      <x:c r="G5" s="2"/>
      <x:c r="H5" s="2"/>
    </x:row>
    <x:row r="6" ht="58" customHeight="1">
      <x:c r="A6" s="13" t="str">
        <x:v>Qué significa sin web</x:v>
      </x:c>
      <x:c r="B6" s="15" t="str">
        <x:v>Es un resultado de investigación pública, no una confirmación del dueño. Una web nueva o no indexada puede no aparecer. Redes sociales, directorios y fichas de reserva son presencia de terceros.</x:v>
      </x:c>
      <x:c r="C6" s="15"/>
      <x:c r="D6" s="15"/>
      <x:c r="E6" s="15"/>
      <x:c r="F6" s="2"/>
      <x:c r="G6" s="2"/>
      <x:c r="H6" s="2"/>
    </x:row>
    <x:row r="7" ht="58" customHeight="1">
      <x:c r="A7" s="13" t="str">
        <x:v>Prioridades</x:v>
      </x:c>
      <x:c r="B7" s="15" t="str">
        <x:v>Alta: primera tanda en español. Media: mercados de otros idiomas. Es un orden de contacto, no una probabilidad de compra ni una confirmación de interés.</x:v>
      </x:c>
      <x:c r="C7" s="15"/>
      <x:c r="D7" s="15"/>
      <x:c r="E7" s="15"/>
      <x:c r="F7" s="2"/>
      <x:c r="G7" s="2"/>
      <x:c r="H7" s="2"/>
    </x:row>
    <x:row r="8" ht="58" customHeight="1">
      <x:c r="A8" s="13" t="str">
        <x:v>Fuentes y fecha</x:v>
      </x:c>
      <x:c r="B8" s="15" t="str">
        <x:v>Revisión realizada el 24/09/2026. La fecha de consulta no es la fecha de actualización del negocio. Varias páginas solo pudieron leerse en el índice; los límites relevantes se detallan por fila.</x:v>
      </x:c>
      <x:c r="C8" s="15"/>
      <x:c r="D8" s="15"/>
      <x:c r="E8" s="15"/>
      <x:c r="F8" s="2"/>
      <x:c r="G8" s="2"/>
      <x:c r="H8" s="2"/>
    </x:row>
    <x:row r="9" ht="58" customHeight="1">
      <x:c r="A9" s="13" t="str">
        <x:v>Contacto</x:v>
      </x:c>
      <x:c r="B9" s="15" t="str">
        <x:v>Cada fila tiene un teléfono comercial publicado. El botón abre el canal elegido. WhatsApp solo se usa cuando la fuente lo declara. El email de Costuras Citrus es de facturación: empezar por teléfono.</x:v>
      </x:c>
      <x:c r="C9" s="15"/>
      <x:c r="D9" s="15"/>
      <x:c r="E9" s="15"/>
      <x:c r="F9" s="2"/>
      <x:c r="G9" s="2"/>
      <x:c r="H9" s="2"/>
    </x:row>
    <x:row r="10" ht="58" customHeight="1">
      <x:c r="A10" s="13" t="str">
        <x:v>Primer intercambio</x:v>
      </x:c>
      <x:c r="B10" s="15" t="str">
        <x:v>Confirmá si actualmente ya tienen una web propia. Si comparten una, marcá Ya tiene web y descartá la propuesta de primera web. No se enviaron mensajes ni se probaron teléfonos.</x:v>
      </x:c>
      <x:c r="C10" s="15"/>
      <x:c r="D10" s="15"/>
      <x:c r="E10" s="15"/>
      <x:c r="F10" s="2"/>
      <x:c r="G10" s="2"/>
      <x:c r="H10" s="2"/>
    </x:row>
    <x:row r="11" ht="58" customHeight="1">
      <x:c r="A11" s="13" t="str">
        <x:v>Seguimiento</x:v>
      </x:c>
      <x:c r="B11" s="15" t="str">
        <x:v>Registrá estado, último contacto, próximo seguimiento y notas en las celdas amarillas. Las fuentes se ordenan junto al negocio. Los cinco registros conservados mantienen su ID y seguimiento.</x:v>
      </x:c>
      <x:c r="C11" s="15"/>
      <x:c r="D11" s="15"/>
      <x:c r="E11" s="15"/>
      <x:c r="F11" s="2"/>
      <x:c r="G11" s="2"/>
      <x:c r="H11" s="2"/>
    </x:row>
    <x:row r="12">
      <x:c r="A12" s="2"/>
      <x:c r="B12" s="2"/>
      <x:c r="C12" s="2"/>
      <x:c r="D12" s="2"/>
      <x:c r="E12" s="2"/>
      <x:c r="F12" s="2"/>
      <x:c r="G12" s="2"/>
      <x:c r="H12" s="2"/>
    </x:row>
    <x:row r="13">
      <x:c r="A13" s="2"/>
      <x:c r="B13" s="2"/>
      <x:c r="C13" s="2"/>
      <x:c r="D13" s="2"/>
      <x:c r="E13" s="2"/>
      <x:c r="F13" s="2"/>
      <x:c r="G13" s="2"/>
      <x:c r="H13" s="2"/>
    </x:row>
    <x:row r="14" ht="30" customHeight="1">
      <x:c r="A14" s="10" t="str">
        <x:v>Idioma</x:v>
      </x:c>
      <x:c r="B14" s="10" t="str">
        <x:v>Rubro</x:v>
      </x:c>
      <x:c r="C14" s="10" t="str">
        <x:v>Primer mensaje</x:v>
      </x:c>
      <x:c r="D14" s="10" t="str">
        <x:v>Seguimiento</x:v>
      </x:c>
      <x:c r="E14" s="10" t="str">
        <x:v>Personalizar con</x:v>
      </x:c>
      <x:c r="F14" s="2"/>
      <x:c r="G14" s="2"/>
      <x:c r="H14" s="2"/>
    </x:row>
    <x:row r="15" ht="138" customHeight="1">
      <x:c r="A15" s="15" t="str">
        <x:v>Español</x:v>
      </x:c>
      <x:c r="B15" s="15" t="str">
        <x:v>Restaurante / café</x:v>
      </x:c>
      <x:c r="C15" s="15" t="str">
        <x:v>Hola, equipo de [NEGOCIO]. Los encontré en [FUENTE PÚBLICA]. ¿Actualmente tienen una web propia? Si todavía no, puedo mostrarles un ejemplo con [SERVICIOS O PRODUCTOS] y contacto directo. ¿Les serviría verlo?</x:v>
      </x:c>
      <x:c r="D15" s="15" t="str">
        <x:v>Hola, retomo esto por si se perdió. La idea sería que desde Google o Instagram una persona vea el menú y consulte/pida en dos pasos. Si no es prioridad ahora, no hay problema.</x:v>
      </x:c>
      <x:c r="E15" s="15" t="str">
        <x:v>Plato destacado, reseña, delivery, horario</x:v>
      </x:c>
      <x:c r="F15" s="2"/>
      <x:c r="G15" s="2"/>
      <x:c r="H15" s="2"/>
    </x:row>
    <x:row r="16" ht="138" customHeight="1">
      <x:c r="A16" s="15" t="str">
        <x:v>Español</x:v>
      </x:c>
      <x:c r="B16" s="15" t="str">
        <x:v>Gimnasio / fitness</x:v>
      </x:c>
      <x:c r="C16" s="15" t="str">
        <x:v>Hola, equipo de [NEGOCIO]. Los encontré en [FUENTE PÚBLICA]. ¿Actualmente tienen una web propia? Si todavía no, puedo mostrarles un ejemplo con [SERVICIOS O PRODUCTOS] y contacto directo. ¿Les serviría verlo?</x:v>
      </x:c>
      <x:c r="D16" s="15" t="str">
        <x:v>Te escribo una sola vez más: la propuesta busca que quien compara gimnasios encuentre planes, horarios y un botón de consulta sin tener que preguntar todo por mensaje. ¿Tiene sentido para ustedes?</x:v>
      </x:c>
      <x:c r="E16" s="15" t="str">
        <x:v>Clase, plan, horario extendido, reseñas</x:v>
      </x:c>
      <x:c r="F16" s="2"/>
      <x:c r="G16" s="2"/>
      <x:c r="H16" s="2"/>
    </x:row>
    <x:row r="17" ht="138" customHeight="1">
      <x:c r="A17" s="15" t="str">
        <x:v>Español</x:v>
      </x:c>
      <x:c r="B17" s="15" t="str">
        <x:v>Veterinaria</x:v>
      </x:c>
      <x:c r="C17" s="15" t="str">
        <x:v>Hola, equipo de [NEGOCIO]. Los encontré en [FUENTE PÚBLICA]. ¿Actualmente tienen una web propia? Si todavía no, puedo mostrarles un ejemplo con [SERVICIOS O PRODUCTOS] y contacto directo. ¿Les serviría verlo?</x:v>
      </x:c>
      <x:c r="D17" s="15" t="str">
        <x:v>Retomo con una idea concreta: un botón visible para consultar turnos, más servicios y mapa. Si ya lo resolvieron por otro canal, decime y no vuelvo a escribir.</x:v>
      </x:c>
      <x:c r="E17" s="15" t="str">
        <x:v>Servicio móvil, urgencias, cobertura, horario</x:v>
      </x:c>
      <x:c r="F17" s="2"/>
      <x:c r="G17" s="2"/>
      <x:c r="H17" s="2"/>
    </x:row>
    <x:row r="18" ht="138" customHeight="1">
      <x:c r="A18" s="15" t="str">
        <x:v>Español</x:v>
      </x:c>
      <x:c r="B18" s="15" t="str">
        <x:v>Retail / catálogo</x:v>
      </x:c>
      <x:c r="C18" s="15" t="str">
        <x:v>Hola, equipo de [NEGOCIO]. Los encontré en [FUENTE PÚBLICA]. ¿Actualmente tienen una web propia? Si todavía no, puedo mostrarles un ejemplo con [SERVICIOS O PRODUCTOS] y contacto directo. ¿Les serviría verlo?</x:v>
      </x:c>
      <x:c r="D18" s="15" t="str">
        <x:v>Paso una última vez: no propongo una tienda compleja, sino un catálogo rápido para que el cliente llegue con una consulta concreta. ¿Te interesa que arme una muestra con sus productos?</x:v>
      </x:c>
      <x:c r="E18" s="15" t="str">
        <x:v>Producto, colección, entrega, reseñas</x:v>
      </x:c>
      <x:c r="F18" s="2"/>
      <x:c r="G18" s="2"/>
      <x:c r="H18" s="2"/>
    </x:row>
    <x:row r="19" ht="138" customHeight="1">
      <x:c r="A19" s="15" t="str">
        <x:v>Español</x:v>
      </x:c>
      <x:c r="B19" s="15" t="str">
        <x:v>Servicio técnico</x:v>
      </x:c>
      <x:c r="C19" s="15" t="str">
        <x:v>Hola, equipo de [NEGOCIO]. Los encontré en [FUENTE PÚBLICA]. ¿Actualmente tienen una web propia? Si todavía no, puedo mostrarles un ejemplo con [SERVICIOS O PRODUCTOS] y contacto directo. ¿Les serviría verlo?</x:v>
      </x:c>
      <x:c r="D19" s="15" t="str">
        <x:v>Retomo con algo puntual: la página puede filtrar consultas y reducir preguntas repetidas sobre modelos, fallas y horarios. Si te sirve, preparo una versión con sus datos.</x:v>
      </x:c>
      <x:c r="E19" s="15" t="str">
        <x:v>Marcas atendidas, garantía, horario, WhatsApp</x:v>
      </x:c>
      <x:c r="F19" s="2"/>
      <x:c r="G19" s="2"/>
      <x:c r="H19" s="2"/>
    </x:row>
    <x:row r="20" ht="138" customHeight="1">
      <x:c r="A20" s="15" t="str">
        <x:v>Español</x:v>
      </x:c>
      <x:c r="B20" s="15" t="str">
        <x:v>Colegio / educación</x:v>
      </x:c>
      <x:c r="C20" s="15" t="str">
        <x:v>Hola, equipo de [NEGOCIO]. Los encontré en [FUENTE PÚBLICA]. ¿Actualmente tienen una web propia? Si todavía no, puedo mostrarles un ejemplo con [SERVICIOS O PRODUCTOS] y contacto directo. ¿Les serviría verlo?</x:v>
      </x:c>
      <x:c r="D20" s="15" t="str">
        <x:v>Gracias por leer. La idea es facilitar la decisión de las familias y bajar preguntas repetidas en época de inscripción. Si me indicás el contacto correcto, se la envío directamente.</x:v>
      </x:c>
      <x:c r="E20" s="15" t="str">
        <x:v>Nivel educativo, admisiones, calendario</x:v>
      </x:c>
      <x:c r="F20" s="2"/>
      <x:c r="G20" s="2"/>
      <x:c r="H20" s="2"/>
    </x:row>
    <x:row r="21" ht="138" customHeight="1">
      <x:c r="A21" s="15" t="str">
        <x:v>Español</x:v>
      </x:c>
      <x:c r="B21" s="15" t="str">
        <x:v>Eventos / alojamiento</x:v>
      </x:c>
      <x:c r="C21" s="15" t="str">
        <x:v>Hola, equipo de [NEGOCIO]. Los encontré en [FUENTE PÚBLICA]. ¿Actualmente tienen una web propia? Si todavía no, puedo mostrarles un ejemplo con [SERVICIOS O PRODUCTOS] y contacto directo. ¿Les serviría verlo?</x:v>
      </x:c>
      <x:c r="D21" s="15" t="str">
        <x:v>Retomo brevemente: una galería clara + paquetes + consulta de fecha suele convertir mejor que enviar toda la información manualmente. ¿Les gustaría ver una muestra?</x:v>
      </x:c>
      <x:c r="E21" s="15" t="str">
        <x:v>Capacidad, habitaciones, paquetes, ubicación</x:v>
      </x:c>
      <x:c r="F21" s="2"/>
      <x:c r="G21" s="2"/>
      <x:c r="H21" s="2"/>
    </x:row>
    <x:row r="22" ht="138" customHeight="1">
      <x:c r="A22" s="15" t="str">
        <x:v>Español</x:v>
      </x:c>
      <x:c r="B22" s="15" t="str">
        <x:v>Servicios para el hogar</x:v>
      </x:c>
      <x:c r="C22" s="15" t="str">
        <x:v>Hola, equipo de [NEGOCIO]. Los encontré en [FUENTE PÚBLICA]. ¿Actualmente tienen una web propia? Si todavía no, puedo mostrarles un ejemplo con [SERVICIOS O PRODUCTOS] y contacto directo. ¿Les serviría verlo?</x:v>
      </x:c>
      <x:c r="D22" s="15" t="str">
        <x:v>Una última idea: la web puede separar urgencias de presupuestos normales y mostrar confianza antes de la llamada. Si no es el momento, cierro por acá.</x:v>
      </x:c>
      <x:c r="E22" s="15" t="str">
        <x:v>Urgencias, cobertura, años, trabajos</x:v>
      </x:c>
      <x:c r="F22" s="2"/>
      <x:c r="G22" s="2"/>
      <x:c r="H22" s="2"/>
    </x:row>
    <x:row r="23" ht="138" customHeight="1">
      <x:c r="A23" s="15" t="str">
        <x:v>Português</x:v>
      </x:c>
      <x:c r="B23" s="15" t="str">
        <x:v>Restaurante</x:v>
      </x:c>
      <x:c r="C23" s="15" t="str">
        <x:v>Olá, equipa de [NEGÓCIO]. Encontrei o vosso negócio em [FONTE PÚBLICA]. Já têm um site próprio? Se ainda não tiverem, posso mostrar um exemplo com [SERVIÇOS OU PRODUTOS] e um contacto direto. Teriam interesse?</x:v>
      </x:c>
      <x:c r="D23" s="15" t="str">
        <x:v>Olá! Só retomando: a proposta é facilitar para quem encontra o restaurante no Google ver o cardápio e pedir em poucos passos. Se não for prioridade agora, sem problema.</x:v>
      </x:c>
      <x:c r="E23" s="15" t="str">
        <x:v>Prato, avaliações, delivery, horário</x:v>
      </x:c>
      <x:c r="F23" s="2"/>
      <x:c r="G23" s="2"/>
      <x:c r="H23" s="2"/>
    </x:row>
    <x:row r="24" ht="138" customHeight="1">
      <x:c r="A24" s="15" t="str">
        <x:v>Português</x:v>
      </x:c>
      <x:c r="B24" s="15" t="str">
        <x:v>Serviço local</x:v>
      </x:c>
      <x:c r="C24" s="15" t="str">
        <x:v>Olá, equipa de [NEGÓCIO]. Encontrei o vosso negócio em [FONTE PÚBLICA]. Já têm um site próprio? Se ainda não tiverem, posso mostrar um exemplo com [SERVIÇOS OU PRODUTOS] e um contacto direto. Teriam interesse?</x:v>
      </x:c>
      <x:c r="D24" s="15" t="str">
        <x:v>Passando uma última vez: a ideia é transformar buscas locais em pedidos de orçamento, sem criar um site complicado. Posso preparar uma amostra curta.</x:v>
      </x:c>
      <x:c r="E24" s="15" t="str">
        <x:v>Área, urgência, anos, avaliações</x:v>
      </x:c>
      <x:c r="F24" s="2"/>
      <x:c r="G24" s="2"/>
      <x:c r="H24" s="2"/>
    </x:row>
    <x:row r="25" ht="138" customHeight="1">
      <x:c r="A25" s="15" t="str">
        <x:v>English</x:v>
      </x:c>
      <x:c r="B25" s="15" t="str">
        <x:v>Local service</x:v>
      </x:c>
      <x:c r="C25" s="15" t="str">
        <x:v>Hola, equipo de [NEGOCIO]. Los encontré en [FUENTE PÚBLICA]. ¿Actualmente tienen una web propia? Si todavía no, puedo mostrarles un ejemplo con [SERVICIOS O PRODUCTOS] y contacto directo. ¿Les serviría verlo?</x:v>
      </x:c>
      <x:c r="D25" s="15" t="str">
        <x:v>Just following up once: the goal is to turn local searches into qualified calls or quote requests without adding admin work. If it is not a priority, no worries.</x:v>
      </x:c>
      <x:c r="E25" s="15" t="str">
        <x:v>Service area, emergency hours, years, reviews</x:v>
      </x:c>
      <x:c r="F25" s="2"/>
      <x:c r="G25" s="2"/>
      <x:c r="H25" s="2"/>
    </x:row>
    <x:row r="26" ht="138" customHeight="1">
      <x:c r="A26" s="15" t="str">
        <x:v>English</x:v>
      </x:c>
      <x:c r="B26" s="15" t="str">
        <x:v>Retail / workshop</x:v>
      </x:c>
      <x:c r="C26" s="15" t="str">
        <x:v>Hola, equipo de [NEGOCIO]. Los encontré en [FUENTE PÚBLICA]. ¿Actualmente tienen una web propia? Si todavía no, puedo mostrarles un ejemplo con [SERVICIOS O PRODUCTOS] y contacto directo. ¿Les serviría verlo?</x:v>
      </x:c>
      <x:c r="D26" s="15" t="str">
        <x:v>One quick follow-up: this would be a focused showcase, not a complex online store. It can help customers understand the offer before they call. Interested in a sample?</x:v>
      </x:c>
      <x:c r="E26" s="15" t="str">
        <x:v>Product range, craftsmanship, history, photos</x:v>
      </x:c>
      <x:c r="F26" s="2"/>
      <x:c r="G26" s="2"/>
      <x:c r="H26" s="2"/>
    </x:row>
    <x:row r="27" ht="138" customHeight="1">
      <x:c r="A27" s="15" t="str">
        <x:v>Francés</x:v>
      </x:c>
      <x:c r="B27" s="15" t="str">
        <x:v>Servicios / reservas</x:v>
      </x:c>
      <x:c r="C27" s="15" t="str">
        <x:v>Bonjour, équipe de [NEGOCIO]. J’ai découvert votre activité sur [SOURCE PUBLIQUE]. Avez-vous déjà votre propre site web ? Sinon, je peux vous montrer un exemple avec [SERVICES OU PRODUITS] et un contact direct. Cela vous intéresse ?</x:v>
      </x:c>
      <x:c r="D27" s="15" t="str">
        <x:v>Bonjour, je reviens une fois sur mon idée de [MEJORA CONCRETA]. Si ce n’est pas une priorité, aucun souci.</x:v>
      </x:c>
      <x:c r="E27" s="15" t="str">
        <x:v>Servicio real, público y canal actual</x:v>
      </x:c>
      <x:c r="F27" s="2"/>
      <x:c r="G27" s="2"/>
      <x:c r="H27" s="2"/>
    </x:row>
    <x:row r="28" ht="138" customHeight="1">
      <x:c r="A28" s="15" t="str">
        <x:v>Italiano</x:v>
      </x:c>
      <x:c r="B28" s="15" t="str">
        <x:v>Cursos / experiencias</x:v>
      </x:c>
      <x:c r="C28" s="15" t="str">
        <x:v>Buongiorno, team di [NEGOCIO]. Ho trovato la vostra attività su [FONTE PUBBLICA]. Avete già un sito web? In caso contrario, posso mostrarvi un esempio con [SERVIZI O PRODOTTI] e un contatto diretto. Vi interessa?</x:v>
      </x:c>
      <x:c r="D28" s="15" t="str">
        <x:v>Buongiorno, torno una volta sulla proposta di [MEJORA CONCRETA]. Se non è una priorità, nessun problema.</x:v>
      </x:c>
      <x:c r="E28" s="15" t="str">
        <x:v>Tipo de clase, grupo y forma de reserva</x:v>
      </x:c>
      <x:c r="F28" s="2"/>
      <x:c r="G28" s="2"/>
      <x:c r="H28" s="2"/>
    </x:row>
    <x:row r="29">
      <x:c r="A29" s="2"/>
      <x:c r="B29" s="2"/>
      <x:c r="C29" s="2"/>
      <x:c r="D29" s="2"/>
      <x:c r="E29" s="2"/>
      <x:c r="F29" s="2"/>
      <x:c r="G29" s="2"/>
      <x:c r="H29" s="2"/>
    </x:row>
    <x:row r="30">
      <x:c r="A30" s="2"/>
      <x:c r="B30" s="2"/>
      <x:c r="C30" s="2"/>
      <x:c r="D30" s="2"/>
      <x:c r="E30" s="2"/>
      <x:c r="F30" s="2"/>
      <x:c r="G30" s="2"/>
      <x:c r="H30" s="2"/>
    </x:row>
    <x:row r="31" ht="28" customHeight="1">
      <x:c r="A31" s="3" t="str">
        <x:v>Cobertura de la base actual</x:v>
      </x:c>
      <x:c r="B31" s="3"/>
      <x:c r="C31" s="3"/>
      <x:c r="D31" s="3"/>
      <x:c r="E31" s="3"/>
      <x:c r="F31" s="2"/>
      <x:c r="G31" s="2"/>
      <x:c r="H31" s="2"/>
    </x:row>
    <x:row r="32">
      <x:c r="A32" s="2"/>
      <x:c r="B32" s="2"/>
      <x:c r="C32" s="2"/>
      <x:c r="D32" s="2"/>
      <x:c r="E32" s="2"/>
      <x:c r="F32" s="2"/>
      <x:c r="G32" s="2"/>
      <x:c r="H32" s="2"/>
    </x:row>
    <x:row r="33" ht="28" customHeight="1">
      <x:c r="A33" s="27" t="str">
        <x:v>País</x:v>
      </x:c>
      <x:c r="B33" s="27" t="str">
        <x:v>Negocios</x:v>
      </x:c>
      <x:c r="C33" s="2"/>
      <x:c r="D33" s="27" t="str">
        <x:v>Continente</x:v>
      </x:c>
      <x:c r="E33" s="27" t="str">
        <x:v>Negocios</x:v>
      </x:c>
      <x:c r="F33" s="2"/>
      <x:c r="G33" s="2"/>
      <x:c r="H33" s="2"/>
    </x:row>
    <x:row r="34" ht="25" customHeight="1">
      <x:c r="A34" s="2" t="str">
        <x:v>Argentina</x:v>
      </x:c>
      <x:c r="B34" s="28" t="n">
        <x:f>COUNTIFS(Prospectos!$D$9:$D$28,A34)</x:f>
        <x:v>1</x:v>
      </x:c>
      <x:c r="C34" s="2"/>
      <x:c r="D34" s="2" t="str">
        <x:v>América</x:v>
      </x:c>
      <x:c r="E34" s="2" t="n">
        <x:f>COUNTIFS(Prospectos!$I$9:$I$28,D34)</x:f>
        <x:v>8</x:v>
      </x:c>
      <x:c r="F34" s="2"/>
      <x:c r="G34" s="2"/>
      <x:c r="H34" s="2"/>
    </x:row>
    <x:row r="35" ht="25" customHeight="1">
      <x:c r="A35" s="2" t="str">
        <x:v>Bangladesh</x:v>
      </x:c>
      <x:c r="B35" s="28" t="n">
        <x:f>COUNTIFS(Prospectos!$D$9:$D$28,A35)</x:f>
        <x:v>1</x:v>
      </x:c>
      <x:c r="C35" s="2"/>
      <x:c r="D35" s="2" t="str">
        <x:v>Europa</x:v>
      </x:c>
      <x:c r="E35" s="2" t="n">
        <x:f>COUNTIFS(Prospectos!$I$9:$I$28,D35)</x:f>
        <x:v>5</x:v>
      </x:c>
      <x:c r="F35" s="2"/>
      <x:c r="G35" s="2"/>
      <x:c r="H35" s="2"/>
    </x:row>
    <x:row r="36" ht="25" customHeight="1">
      <x:c r="A36" s="2" t="str">
        <x:v>Bolivia</x:v>
      </x:c>
      <x:c r="B36" s="28" t="n">
        <x:f>COUNTIFS(Prospectos!$D$9:$D$28,A36)</x:f>
        <x:v>1</x:v>
      </x:c>
      <x:c r="C36" s="2"/>
      <x:c r="D36" s="2" t="str">
        <x:v>África</x:v>
      </x:c>
      <x:c r="E36" s="2" t="n">
        <x:f>COUNTIFS(Prospectos!$I$9:$I$28,D36)</x:f>
        <x:v>2</x:v>
      </x:c>
      <x:c r="F36" s="2"/>
      <x:c r="G36" s="2"/>
      <x:c r="H36" s="2"/>
    </x:row>
    <x:row r="37" ht="25" customHeight="1">
      <x:c r="A37" s="2" t="str">
        <x:v>Canadá</x:v>
      </x:c>
      <x:c r="B37" s="28" t="n">
        <x:f>COUNTIFS(Prospectos!$D$9:$D$28,A37)</x:f>
        <x:v>2</x:v>
      </x:c>
      <x:c r="C37" s="2"/>
      <x:c r="D37" s="2" t="str">
        <x:v>Asia</x:v>
      </x:c>
      <x:c r="E37" s="2" t="n">
        <x:f>COUNTIFS(Prospectos!$I$9:$I$28,D37)</x:f>
        <x:v>4</x:v>
      </x:c>
      <x:c r="F37" s="2"/>
      <x:c r="G37" s="2"/>
      <x:c r="H37" s="2"/>
    </x:row>
    <x:row r="38" ht="25" customHeight="1">
      <x:c r="A38" s="2" t="str">
        <x:v>Chile</x:v>
      </x:c>
      <x:c r="B38" s="28" t="n">
        <x:f>COUNTIFS(Prospectos!$D$9:$D$28,A38)</x:f>
        <x:v>1</x:v>
      </x:c>
      <x:c r="C38" s="2"/>
      <x:c r="D38" s="2" t="str">
        <x:v>Oceanía</x:v>
      </x:c>
      <x:c r="E38" s="2" t="n">
        <x:f>COUNTIFS(Prospectos!$I$9:$I$28,D38)</x:f>
        <x:v>1</x:v>
      </x:c>
      <x:c r="F38" s="2"/>
      <x:c r="G38" s="2"/>
      <x:c r="H38" s="2"/>
    </x:row>
    <x:row r="39" ht="25" customHeight="1">
      <x:c r="A39" s="2" t="str">
        <x:v>Ecuador</x:v>
      </x:c>
      <x:c r="B39" s="28" t="n">
        <x:f>COUNTIFS(Prospectos!$D$9:$D$28,A39)</x:f>
        <x:v>1</x:v>
      </x:c>
      <x:c r="C39" s="2"/>
      <x:c r="D39" s="2"/>
      <x:c r="E39" s="2"/>
      <x:c r="F39" s="2"/>
      <x:c r="G39" s="2"/>
      <x:c r="H39" s="2"/>
    </x:row>
    <x:row r="40" ht="25" customHeight="1">
      <x:c r="A40" s="2" t="str">
        <x:v>España</x:v>
      </x:c>
      <x:c r="B40" s="28" t="n">
        <x:f>COUNTIFS(Prospectos!$D$9:$D$28,A40)</x:f>
        <x:v>2</x:v>
      </x:c>
      <x:c r="C40" s="2"/>
      <x:c r="D40" s="2" t="str">
        <x:v>Total</x:v>
      </x:c>
      <x:c r="E40" s="2" t="n">
        <x:f>SUM(E34:E38)</x:f>
        <x:v>20</x:v>
      </x:c>
      <x:c r="F40" s="2"/>
      <x:c r="G40" s="2"/>
      <x:c r="H40" s="2"/>
    </x:row>
    <x:row r="41" ht="25" customHeight="1">
      <x:c r="A41" s="2" t="str">
        <x:v>India</x:v>
      </x:c>
      <x:c r="B41" s="28" t="n">
        <x:f>COUNTIFS(Prospectos!$D$9:$D$28,A41)</x:f>
        <x:v>2</x:v>
      </x:c>
      <x:c r="C41" s="2"/>
      <x:c r="D41" s="2"/>
      <x:c r="E41" s="2"/>
      <x:c r="F41" s="2"/>
      <x:c r="G41" s="2"/>
      <x:c r="H41" s="2"/>
    </x:row>
    <x:row r="42" ht="25" customHeight="1">
      <x:c r="A42" s="2" t="str">
        <x:v>Irlanda</x:v>
      </x:c>
      <x:c r="B42" s="28" t="n">
        <x:f>COUNTIFS(Prospectos!$D$9:$D$28,A42)</x:f>
        <x:v>1</x:v>
      </x:c>
      <x:c r="C42" s="2"/>
      <x:c r="D42" s="2"/>
      <x:c r="E42" s="2"/>
      <x:c r="F42" s="2"/>
      <x:c r="G42" s="2"/>
      <x:c r="H42" s="2"/>
    </x:row>
    <x:row r="43" ht="25" customHeight="1">
      <x:c r="A43" s="2" t="str">
        <x:v>Kenia</x:v>
      </x:c>
      <x:c r="B43" s="28" t="n">
        <x:f>COUNTIFS(Prospectos!$D$9:$D$28,A43)</x:f>
        <x:v>1</x:v>
      </x:c>
      <x:c r="C43" s="2"/>
      <x:c r="D43" s="2"/>
      <x:c r="E43" s="2"/>
      <x:c r="F43" s="2"/>
      <x:c r="G43" s="2"/>
      <x:c r="H43" s="2"/>
    </x:row>
    <x:row r="44" ht="25" customHeight="1">
      <x:c r="A44" s="2" t="str">
        <x:v>México</x:v>
      </x:c>
      <x:c r="B44" s="28" t="n">
        <x:f>COUNTIFS(Prospectos!$D$9:$D$28,A44)</x:f>
        <x:v>1</x:v>
      </x:c>
      <x:c r="C44" s="2"/>
      <x:c r="D44" s="2"/>
      <x:c r="E44" s="2"/>
      <x:c r="F44" s="2"/>
      <x:c r="G44" s="2"/>
      <x:c r="H44" s="2"/>
    </x:row>
    <x:row r="45" ht="25" customHeight="1">
      <x:c r="A45" s="2" t="str">
        <x:v>Pakistán</x:v>
      </x:c>
      <x:c r="B45" s="28" t="n">
        <x:f>COUNTIFS(Prospectos!$D$9:$D$28,A45)</x:f>
        <x:v>1</x:v>
      </x:c>
      <x:c r="C45" s="2"/>
      <x:c r="D45" s="2"/>
      <x:c r="E45" s="2"/>
      <x:c r="F45" s="2"/>
      <x:c r="G45" s="2"/>
      <x:c r="H45" s="2"/>
    </x:row>
    <x:row r="46" ht="25" customHeight="1">
      <x:c r="A46" s="2" t="str">
        <x:v>Portugal</x:v>
      </x:c>
      <x:c r="B46" s="28" t="n">
        <x:f>COUNTIFS(Prospectos!$D$9:$D$28,A46)</x:f>
        <x:v>2</x:v>
      </x:c>
      <x:c r="C46" s="2"/>
      <x:c r="D46" s="2"/>
      <x:c r="E46" s="2"/>
      <x:c r="F46" s="2"/>
      <x:c r="G46" s="2"/>
      <x:c r="H46" s="2"/>
    </x:row>
    <x:row r="47" ht="25" customHeight="1">
      <x:c r="A47" s="2" t="str">
        <x:v>Samoa</x:v>
      </x:c>
      <x:c r="B47" s="28" t="n">
        <x:f>COUNTIFS(Prospectos!$D$9:$D$28,A47)</x:f>
        <x:v>1</x:v>
      </x:c>
      <x:c r="C47" s="2"/>
      <x:c r="D47" s="2"/>
      <x:c r="E47" s="2"/>
      <x:c r="F47" s="2"/>
      <x:c r="G47" s="2"/>
      <x:c r="H47" s="2"/>
    </x:row>
    <x:row r="48" ht="25" customHeight="1">
      <x:c r="A48" s="2" t="str">
        <x:v>Sudáfrica</x:v>
      </x:c>
      <x:c r="B48" s="28" t="n">
        <x:f>COUNTIFS(Prospectos!$D$9:$D$28,A48)</x:f>
        <x:v>1</x:v>
      </x:c>
      <x:c r="C48" s="2"/>
      <x:c r="D48" s="2"/>
      <x:c r="E48" s="2"/>
      <x:c r="F48" s="2"/>
      <x:c r="G48" s="2"/>
      <x:c r="H48" s="2"/>
    </x:row>
    <x:row r="49" ht="25" customHeight="1">
      <x:c r="A49" s="2" t="str">
        <x:v>Uruguay</x:v>
      </x:c>
      <x:c r="B49" s="28" t="n">
        <x:f>COUNTIFS(Prospectos!$D$9:$D$28,A49)</x:f>
        <x:v>1</x:v>
      </x:c>
      <x:c r="C49" s="2"/>
      <x:c r="D49" s="2"/>
      <x:c r="E49" s="2"/>
      <x:c r="F49" s="2"/>
      <x:c r="G49" s="2"/>
      <x:c r="H49" s="2"/>
    </x:row>
    <x:row r="50" ht="25" customHeight="1">
      <x:c r="A50" s="2"/>
      <x:c r="B50" s="28"/>
      <x:c r="C50" s="2"/>
      <x:c r="D50" s="2"/>
      <x:c r="E50" s="2"/>
      <x:c r="F50" s="2"/>
      <x:c r="G50" s="2"/>
      <x:c r="H50" s="2"/>
    </x:row>
    <x:row r="51" ht="25" customHeight="1">
      <x:c r="A51" s="2"/>
      <x:c r="B51" s="28"/>
      <x:c r="C51" s="2"/>
      <x:c r="D51" s="2"/>
      <x:c r="E51" s="2"/>
      <x:c r="F51" s="2"/>
      <x:c r="G51" s="2"/>
      <x:c r="H51" s="2"/>
    </x:row>
    <x:row r="52" ht="25" customHeight="1">
      <x:c r="A52" s="2"/>
      <x:c r="B52" s="28"/>
      <x:c r="C52" s="2"/>
      <x:c r="D52" s="2"/>
      <x:c r="E52" s="2"/>
      <x:c r="F52" s="2"/>
      <x:c r="G52" s="2"/>
      <x:c r="H52" s="2"/>
    </x:row>
    <x:row r="53" ht="25" customHeight="1">
      <x:c r="A53" s="2"/>
      <x:c r="B53" s="28"/>
      <x:c r="C53" s="2"/>
      <x:c r="D53" s="2"/>
      <x:c r="E53" s="2"/>
      <x:c r="F53" s="2"/>
      <x:c r="G53" s="2"/>
      <x:c r="H53" s="2"/>
    </x:row>
    <x:row r="54" ht="25" customHeight="1">
      <x:c r="A54" s="2"/>
      <x:c r="B54" s="28"/>
      <x:c r="C54" s="2"/>
      <x:c r="D54" s="2"/>
      <x:c r="E54" s="2"/>
      <x:c r="F54" s="2"/>
      <x:c r="G54" s="2"/>
      <x:c r="H54" s="2"/>
    </x:row>
    <x:row r="55" ht="25" customHeight="1">
      <x:c r="A55" s="2"/>
      <x:c r="B55" s="28"/>
      <x:c r="C55" s="2"/>
      <x:c r="D55" s="2"/>
      <x:c r="E55" s="2"/>
      <x:c r="F55" s="2"/>
      <x:c r="G55" s="2"/>
      <x:c r="H55" s="2"/>
    </x:row>
    <x:row r="56" ht="25" customHeight="1">
      <x:c r="A56" s="2"/>
      <x:c r="B56" s="28"/>
      <x:c r="C56" s="2"/>
      <x:c r="D56" s="2"/>
      <x:c r="E56" s="2"/>
      <x:c r="F56" s="2"/>
      <x:c r="G56" s="2"/>
      <x:c r="H56" s="2"/>
    </x:row>
    <x:row r="57" ht="25" customHeight="1">
      <x:c r="A57" s="2"/>
      <x:c r="B57" s="28"/>
      <x:c r="C57" s="2"/>
      <x:c r="D57" s="2"/>
      <x:c r="E57" s="2"/>
      <x:c r="F57" s="2"/>
      <x:c r="G57" s="2"/>
      <x:c r="H57" s="2"/>
    </x:row>
    <x:row r="58" ht="25" customHeight="1">
      <x:c r="A58" s="2"/>
      <x:c r="B58" s="28"/>
      <x:c r="C58" s="2"/>
      <x:c r="D58" s="2"/>
      <x:c r="E58" s="2"/>
      <x:c r="F58" s="2"/>
      <x:c r="G58" s="2"/>
      <x:c r="H58" s="2"/>
    </x:row>
    <x:row r="59" ht="25" customHeight="1">
      <x:c r="A59" s="2"/>
      <x:c r="B59" s="28"/>
      <x:c r="C59" s="2"/>
      <x:c r="D59" s="2"/>
      <x:c r="E59" s="2"/>
      <x:c r="F59" s="2"/>
      <x:c r="G59" s="2"/>
      <x:c r="H59" s="2"/>
    </x:row>
    <x:row r="60" ht="25" customHeight="1">
      <x:c r="A60" s="2"/>
      <x:c r="B60" s="28"/>
      <x:c r="C60" s="2"/>
      <x:c r="D60" s="2"/>
      <x:c r="E60" s="2"/>
      <x:c r="F60" s="2"/>
      <x:c r="G60" s="2"/>
      <x:c r="H60" s="2"/>
    </x:row>
    <x:row r="61" ht="25" customHeight="1">
      <x:c r="A61" s="2"/>
      <x:c r="B61" s="28"/>
      <x:c r="C61" s="2"/>
      <x:c r="D61" s="2"/>
      <x:c r="E61" s="2"/>
      <x:c r="F61" s="2"/>
      <x:c r="G61" s="2"/>
      <x:c r="H61" s="2"/>
    </x:row>
    <x:row r="62" ht="25" customHeight="1">
      <x:c r="A62" s="2"/>
      <x:c r="B62" s="28"/>
      <x:c r="C62" s="2"/>
      <x:c r="D62" s="2"/>
      <x:c r="E62" s="2"/>
      <x:c r="F62" s="2"/>
      <x:c r="G62" s="2"/>
      <x:c r="H62" s="2"/>
    </x:row>
    <x:row r="63" ht="25" customHeight="1">
      <x:c r="A63" s="2"/>
      <x:c r="B63" s="28"/>
      <x:c r="C63" s="2"/>
      <x:c r="D63" s="2"/>
      <x:c r="E63" s="2"/>
      <x:c r="F63" s="2"/>
      <x:c r="G63" s="2"/>
      <x:c r="H63" s="2"/>
    </x:row>
    <x:row r="64" ht="25" customHeight="1">
      <x:c r="A64" s="2"/>
      <x:c r="B64" s="28"/>
      <x:c r="C64" s="2"/>
      <x:c r="D64" s="2"/>
      <x:c r="E64" s="2"/>
      <x:c r="F64" s="2"/>
      <x:c r="G64" s="2"/>
      <x:c r="H64" s="2"/>
    </x:row>
    <x:row r="65" ht="25" customHeight="1">
      <x:c r="A65" s="2"/>
      <x:c r="B65" s="28"/>
      <x:c r="C65" s="2"/>
      <x:c r="D65" s="2"/>
      <x:c r="E65" s="2"/>
      <x:c r="F65" s="2"/>
      <x:c r="G65" s="2"/>
      <x:c r="H65" s="2"/>
    </x:row>
    <x:row r="66" ht="25" customHeight="1">
      <x:c r="A66" s="2"/>
      <x:c r="B66" s="28"/>
      <x:c r="C66" s="2"/>
      <x:c r="D66" s="2"/>
      <x:c r="E66" s="2"/>
      <x:c r="F66" s="2"/>
      <x:c r="G66" s="2"/>
      <x:c r="H66" s="2"/>
    </x:row>
    <x:row r="67" ht="25" customHeight="1">
      <x:c r="A67" s="2"/>
      <x:c r="B67" s="28"/>
      <x:c r="C67" s="2"/>
      <x:c r="D67" s="2"/>
      <x:c r="E67" s="2"/>
      <x:c r="F67" s="2"/>
      <x:c r="G67" s="2"/>
      <x:c r="H67" s="2"/>
    </x:row>
    <x:row r="68" ht="25" customHeight="1">
      <x:c r="A68" s="2"/>
      <x:c r="B68" s="28"/>
      <x:c r="C68" s="2"/>
      <x:c r="D68" s="2"/>
      <x:c r="E68" s="2"/>
      <x:c r="F68" s="2"/>
      <x:c r="G68" s="2"/>
      <x:c r="H68" s="2"/>
    </x:row>
    <x:row r="69" ht="25" customHeight="1">
      <x:c r="A69" s="2"/>
      <x:c r="B69" s="28"/>
      <x:c r="C69" s="2"/>
      <x:c r="D69" s="2"/>
      <x:c r="E69" s="2"/>
      <x:c r="F69" s="2"/>
      <x:c r="G69" s="2"/>
      <x:c r="H69" s="2"/>
    </x:row>
    <x:row r="70">
      <x:c r="A70" s="2"/>
      <x:c r="B70" s="2"/>
      <x:c r="C70" s="2"/>
      <x:c r="D70" s="2"/>
      <x:c r="E70" s="2"/>
      <x:c r="F70" s="2"/>
      <x:c r="G70" s="2"/>
      <x:c r="H70" s="2"/>
    </x:row>
    <x:row r="71">
      <x:c r="A71" s="2"/>
      <x:c r="B71" s="2"/>
      <x:c r="C71" s="2"/>
      <x:c r="D71" s="2"/>
      <x:c r="E71" s="2"/>
      <x:c r="F71" s="2"/>
      <x:c r="G71" s="2"/>
      <x:c r="H71" s="2"/>
    </x:row>
    <x:row r="72">
      <x:c r="A72" s="2"/>
      <x:c r="B72" s="2"/>
      <x:c r="C72" s="2"/>
      <x:c r="D72" s="2"/>
      <x:c r="E72" s="2"/>
      <x:c r="F72" s="2"/>
      <x:c r="G72" s="2"/>
      <x:c r="H72" s="2"/>
    </x:row>
    <x:row r="73">
      <x:c r="A73" s="2"/>
      <x:c r="B73" s="2"/>
      <x:c r="C73" s="2"/>
      <x:c r="D73" s="2"/>
      <x:c r="E73" s="2"/>
      <x:c r="F73" s="2"/>
      <x:c r="G73" s="2"/>
      <x:c r="H73" s="2"/>
    </x:row>
    <x:row r="74">
      <x:c r="A74" s="2"/>
      <x:c r="B74" s="2"/>
      <x:c r="C74" s="2"/>
      <x:c r="D74" s="2"/>
      <x:c r="E74" s="2"/>
      <x:c r="F74" s="2"/>
      <x:c r="G74" s="2"/>
      <x:c r="H74" s="2"/>
    </x:row>
    <x:row r="75">
      <x:c r="A75" s="2"/>
      <x:c r="B75" s="2"/>
      <x:c r="C75" s="2"/>
      <x:c r="D75" s="2"/>
      <x:c r="E75" s="2"/>
      <x:c r="F75" s="2"/>
      <x:c r="G75" s="2"/>
      <x:c r="H75" s="2"/>
    </x:row>
    <x:row r="76">
      <x:c r="A76" s="2"/>
      <x:c r="B76" s="2"/>
      <x:c r="C76" s="2"/>
      <x:c r="D76" s="2"/>
      <x:c r="E76" s="2"/>
      <x:c r="F76" s="2"/>
      <x:c r="G76" s="2"/>
      <x:c r="H76" s="2"/>
    </x:row>
    <x:row r="77">
      <x:c r="A77" s="2"/>
      <x:c r="B77" s="2"/>
      <x:c r="C77" s="2"/>
      <x:c r="D77" s="2"/>
      <x:c r="E77" s="2"/>
      <x:c r="F77" s="2"/>
      <x:c r="G77" s="2"/>
      <x:c r="H77" s="2"/>
    </x:row>
    <x:row r="78">
      <x:c r="A78" s="2"/>
      <x:c r="B78" s="2"/>
      <x:c r="C78" s="2"/>
      <x:c r="D78" s="2"/>
      <x:c r="E78" s="2"/>
      <x:c r="F78" s="2"/>
      <x:c r="G78" s="2"/>
      <x:c r="H78" s="2"/>
    </x:row>
  </x:sheetData>
  <x:mergeCells>
    <x:mergeCell ref="B4:E4"/>
    <x:mergeCell ref="B5:E5"/>
    <x:mergeCell ref="B6:E6"/>
    <x:mergeCell ref="B7:E7"/>
    <x:mergeCell ref="B8:E8"/>
    <x:mergeCell ref="B9:E9"/>
    <x:mergeCell ref="B10:E10"/>
    <x:mergeCell ref="B11:E11"/>
  </x:mergeCells>
  <x:pageMargins left="0.7" right="0.7" top="0.75" bottom="0.75" header="0.3" footer="0.3"/>
  <x:tableParts count="1">
    <x:tablePart xmlns:r="http://schemas.openxmlformats.org/officeDocument/2006/relationships" r:id="R260228de3a7346b9"/>
  </x:tableParts>
</x:worksheet>
</file>